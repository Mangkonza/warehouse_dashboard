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0094917D-EA5D-45F4-9542-C21783203BD2}" xr6:coauthVersionLast="47" xr6:coauthVersionMax="47" xr10:uidLastSave="{00000000-0000-0000-0000-000000000000}"/>
  <bookViews>
    <workbookView xWindow="11700" yWindow="0" windowWidth="17100" windowHeight="15480" activeTab="1" xr2:uid="{5DFFB6A4-4F9E-4DDE-BC1C-418E6FBE56E5}"/>
  </bookViews>
  <sheets>
    <sheet name="2-โครงการพัฒนาวิชาการ" sheetId="2" r:id="rId1"/>
    <sheet name="3-งานบริการวิชาการ" sheetId="3" r:id="rId2"/>
  </sheets>
  <definedNames>
    <definedName name="_xlnm.Print_Titles" localSheetId="0">'2-โครงการพัฒนาวิชาการ'!$1:$5</definedName>
    <definedName name="_xlnm.Print_Titles" localSheetId="1">'3-งานบริการวิชาการ'!$1:$4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" i="2" l="1"/>
  <c r="M16" i="2" s="1"/>
  <c r="J15" i="2"/>
  <c r="M15" i="2" s="1"/>
  <c r="J14" i="2"/>
  <c r="M14" i="2" s="1"/>
  <c r="J13" i="2"/>
  <c r="M13" i="2" s="1"/>
  <c r="J12" i="2"/>
  <c r="M12" i="2" s="1"/>
  <c r="J11" i="2"/>
  <c r="M11" i="2" s="1"/>
  <c r="J10" i="2"/>
  <c r="M10" i="2" s="1"/>
  <c r="J9" i="2"/>
  <c r="M9" i="2" s="1"/>
  <c r="J8" i="2"/>
  <c r="M8" i="2" s="1"/>
  <c r="J7" i="2"/>
  <c r="M7" i="2" s="1"/>
  <c r="J6" i="2"/>
  <c r="M6" i="2" s="1"/>
  <c r="K8" i="2" l="1"/>
  <c r="K11" i="2"/>
  <c r="K14" i="2"/>
  <c r="L8" i="2"/>
  <c r="L11" i="2"/>
  <c r="L14" i="2"/>
  <c r="K6" i="2"/>
  <c r="K9" i="2"/>
  <c r="K12" i="2"/>
  <c r="K15" i="2"/>
  <c r="L6" i="2"/>
  <c r="L9" i="2"/>
  <c r="L12" i="2"/>
  <c r="L15" i="2"/>
  <c r="K7" i="2"/>
  <c r="K10" i="2"/>
  <c r="K13" i="2"/>
  <c r="K16" i="2"/>
  <c r="L7" i="2"/>
  <c r="L10" i="2"/>
  <c r="L13" i="2"/>
  <c r="L16" i="2"/>
</calcChain>
</file>

<file path=xl/sharedStrings.xml><?xml version="1.0" encoding="utf-8"?>
<sst xmlns="http://schemas.openxmlformats.org/spreadsheetml/2006/main" count="362" uniqueCount="167">
  <si>
    <t>สรุปโครงการพัฒนาวิชาการ</t>
  </si>
  <si>
    <t>เดือนกุมภาพันธ์ 2569</t>
  </si>
  <si>
    <t>ลำดับ
ที่</t>
  </si>
  <si>
    <t>ชื่อโครงการ</t>
  </si>
  <si>
    <t>หัวหน้าโครงการ</t>
  </si>
  <si>
    <t>ผู้ร่วมโครงการ</t>
  </si>
  <si>
    <t>หน่วยงาน
ดำเนินการ</t>
  </si>
  <si>
    <t>ผู้ขอรับบริการ</t>
  </si>
  <si>
    <t>งบประมาณ</t>
  </si>
  <si>
    <t>การจัดสรร</t>
  </si>
  <si>
    <t>บรูณาการการใช้ประโยชน์</t>
  </si>
  <si>
    <t>ลักษณะโครงการ</t>
  </si>
  <si>
    <t>ระยะเวลาดำเนินการ</t>
  </si>
  <si>
    <t>วันที่นำไปบูรณาการ</t>
  </si>
  <si>
    <t>ระเบียนโครงการ</t>
  </si>
  <si>
    <t>หมายเหตุ</t>
  </si>
  <si>
    <t>สถานะโครงการ</t>
  </si>
  <si>
    <t>ภายใน</t>
  </si>
  <si>
    <t>ภายนอก</t>
  </si>
  <si>
    <t>ครั้งแรก</t>
  </si>
  <si>
    <t>มากกว่า 1 ครั้ง</t>
  </si>
  <si>
    <t>ค่า
อำนวย
การ
15 %</t>
  </si>
  <si>
    <t>คณะ
5%</t>
  </si>
  <si>
    <t xml:space="preserve">ภาค
วิชา
5% </t>
  </si>
  <si>
    <t>มก.
5%</t>
  </si>
  <si>
    <t>โครงการวิจัย</t>
  </si>
  <si>
    <t>สิทธิบัตร/
อนุสิทธิบัตร</t>
  </si>
  <si>
    <t>สอดคล้องกับนโยบายชาติ</t>
  </si>
  <si>
    <t>เพิ่มมูลค่า</t>
  </si>
  <si>
    <t>เริ่มต้น</t>
  </si>
  <si>
    <t>สิ้นสุด</t>
  </si>
  <si>
    <t>ให้คำปรึกษา และ ทดสอบโครงกรอบประตู หน้าต่าง ผนังอลูมิเนียมหรือวัสดุอื่น ติดกระจกตามมาตรฐาน มอก. และมาตรฐานสากลอื่น ประจำปี 2569</t>
  </si>
  <si>
    <t>ผศ.ดร.ศิริศักดิ์ เชิดเกียรติพล</t>
  </si>
  <si>
    <t>-</t>
  </si>
  <si>
    <t>ศูนย์ทดสอบประตู หน้าต่าง และระบบผนังกระจกสำหรับอาคาร</t>
  </si>
  <si>
    <t>หน่วยงานภาครัฐ/หน่วยงานภาคเอกชน</t>
  </si>
  <si>
    <t>ไม่มี</t>
  </si>
  <si>
    <t>00420/69</t>
  </si>
  <si>
    <t>โครงการรวบรวม ตรวจสอบ วิเคราะห์ความถูกต้องของข้อมูลสถานการณ์น้ำ ส่วนประมวลวิเคราะห์สถานการณ์น้ำ แขวงถนนนครไชยศรี เขตดุสิต กรุงเทพมหานคร</t>
  </si>
  <si>
    <t>ผศ.ดร.ไชยาพงษ์ เทพประสิทธิ์</t>
  </si>
  <si>
    <t>ภาควิชา
วิศวกรรมชลประทาน</t>
  </si>
  <si>
    <t>กรมชลประทาน</t>
  </si>
  <si>
    <t>02207311
Engineering Hydrology</t>
  </si>
  <si>
    <t>00423/69</t>
  </si>
  <si>
    <t>โครงการจัดทำแผนปรับปรุงและบำรุงรักษาอาคารและระบบชลประทาน ส่วนปรับปรุงบำรุงรักษา แขวงถนนนครไชยศรี เขตดุสิต กรุงเทพมหานคร</t>
  </si>
  <si>
    <t>02207111
หลักวิศวกรรมชลประทาน</t>
  </si>
  <si>
    <t>00429/69</t>
  </si>
  <si>
    <t>จ้างจัดทำและติดตั้งระบบการบริหารจัดการน้ำและควบคุมอาคารชลประทานจากระยะไกล สำหรับโครงการเพิ่มประสิทธิภาพระบบการบริหารจัดการน้ำและควบคุมอาคารชลประทานจากระยะไกลในโครงการส่งน้ำและบำรุงรักษาพรม-เชิญ ช่วงที่ 1 ตำบลชุมแพ อำเภอชุมแพ จังหวัดขอนแก่น</t>
  </si>
  <si>
    <t>รศ.ดร.วิษุวัฒก์ แต้สมบัติ</t>
  </si>
  <si>
    <t>สำนักงานชลประทานที่ 6 
กรมชลประทาน</t>
  </si>
  <si>
    <t>02207545
Flood Forecasting and Warning System</t>
  </si>
  <si>
    <t>00430/69</t>
  </si>
  <si>
    <t>ค่าครุภัณฑ์</t>
  </si>
  <si>
    <t>จ้างจัดทำและติดตั้งระบบช่วยสนับสนุนการบริหารจัดการน้ำ สำหรับงานโครงการติดตั้งระบบช่วยสนับสนุนการบริหารจัดการน้ำในโครงการส่งน้ำและบำรุงรักษาหนองหวาย (แม่น้ำชี) ตำบลน้ำพอง อำเภอน้ำพอง จังหวัดขอนแก่น</t>
  </si>
  <si>
    <t>00431/69</t>
  </si>
  <si>
    <t>จ้างจัดทำและติดตั้งระบบการบริหารจัดการน้ำและควบคุมอาคารชลประทานจากระยะไกล สำหรับโครงการเพิ่มประสิทธิภาพระบบการบริหารจัดการน้ำและควบคุมอาคารชลประทานจากระยะไกลในโครงการส่งน้ำและบำรุงรักษาพรม-เชิญ ช่วงที่ 2 ตำบลบ้านยาง อำเภอเกษตรสมบูรณ์ จังหวัดชัยภูมิ</t>
  </si>
  <si>
    <t>00432/69</t>
  </si>
  <si>
    <t>จ้างจัดทำโครงการพัฒนาระบบปัญญาประดิษฐ์ในการช่วยสนับสนุนการตัดสินใจในการบริหารจัดการน้ำของอ่างเก็บน้ำคลองกะทะ ตำบลฉลอง อำเภอเมืองภูเก็ต จังหวัดภูเก็ต</t>
  </si>
  <si>
    <t>โครงการชลประทานภูเก็ต สำนักงานชลประทานที่ 15 กรมชลประทาน</t>
  </si>
  <si>
    <t>00456/69</t>
  </si>
  <si>
    <t>ค่าใช้จ่ายในการศึกษาและจัดทำหลักเกณฑ์ มาตรฐานเครื่องวัดน้ำหรือประเมินปริมาณน้ำที่ใช้เพื่อเพิ่มประสิทธิภาพการควบคุมการใช้ทรัพยากรน้ำสาธารณะที่มิใช่น้ำจากทางน้ำชลประทาน กรมทรัพยากรน้ำ แขวงพญาไท เขตพญาไท กรุงเทพมหานคร</t>
  </si>
  <si>
    <t>กรมทรัพยากรน้ำ</t>
  </si>
  <si>
    <t>00457/69</t>
  </si>
  <si>
    <t>โครงการวิเคราะห์และจัดทำชุดความรู้การบริหารจัดการทรัพยากรน้ำชุมชน</t>
  </si>
  <si>
    <t>ผศ.ดร.เกศวรา สิทธิโชค</t>
  </si>
  <si>
    <t>สำนักงาน
ทรัพยากรน้ำแห่งชาติ</t>
  </si>
  <si>
    <t>00472/69</t>
  </si>
  <si>
    <t>00473/69</t>
  </si>
  <si>
    <t>จ้างที่ปรึกษาทบทวนแบบก่อสร้างศูนย์บริหารจัดการคุณภาพน้ำ</t>
  </si>
  <si>
    <t>องค์การจัดการน้ำเสีย</t>
  </si>
  <si>
    <t>0203481
วิศวกรรมสุขาภิบาลและการประปา</t>
  </si>
  <si>
    <t>00474/69</t>
  </si>
  <si>
    <t>สรุปข้อมูลผลงานบริการวิชาการคณะวิศวกรรมศาสตร์ กำแพงแสน</t>
  </si>
  <si>
    <t>ประจำเดือนกุมภาพันธ์ 2569</t>
  </si>
  <si>
    <t>เรื่อง</t>
  </si>
  <si>
    <t>กลุ่มเป้าหมาย</t>
  </si>
  <si>
    <t>ประเภท</t>
  </si>
  <si>
    <t>ชื่อ - นามสกุล</t>
  </si>
  <si>
    <t>ภาควิชา/ศูนย์ฯ</t>
  </si>
  <si>
    <t>วัน/เดือน/ปี</t>
  </si>
  <si>
    <t>จำนวนชั่วโมง</t>
  </si>
  <si>
    <t>จำนวนคน</t>
  </si>
  <si>
    <t>วิทยากร/อาจารย์พิเศษ</t>
  </si>
  <si>
    <t>วิชาการ</t>
  </si>
  <si>
    <t>วิชาชีพ</t>
  </si>
  <si>
    <t>ผู้ทรงคุณวุฒิ</t>
  </si>
  <si>
    <t>วิทยานิพนธ์ภายนอก</t>
  </si>
  <si>
    <t>ศึกษาดูงาน วศ.กพส.</t>
  </si>
  <si>
    <t xml:space="preserve">แต่งตั้งคณะกรรมการประเมินคุณภาพการศึกษาเพื่อดำเนินการที่เป็นเลิศระดับคณะ และวิทยาเขต มหาวิทยาลัยเกษตรศาสตร์ ประจำปีการศึกษา 2567 </t>
  </si>
  <si>
    <t>มหาวิทยาลัยเกษตรศาสตร์ กำแพงแสน</t>
  </si>
  <si>
    <t>ü</t>
  </si>
  <si>
    <t>รศ.ดร.เบญญา กสานติกุล</t>
  </si>
  <si>
    <t>ภาควิชา
วิศววกรรมเครื่องกล</t>
  </si>
  <si>
    <t>แต่งตั้งคณะกรรมการประเมินคุณภาพการศึกษาภายใน ระดับหลักสูตร ตามเกณฑ์ AUN-QA ประจำปีการศึกษา 2567 (ชุดที่4)</t>
  </si>
  <si>
    <t>ภาควิชา
วิศวกรรมเครื่องกล</t>
  </si>
  <si>
    <t>วิทยากรบรรยายในหัวข้อ "นโยบายการบริหารจัดการคุณภาพน้ำในภาพรวมระดับประเทศ"</t>
  </si>
  <si>
    <t>ผู้ดำเนินรายการ เสวนาวิชาการ เรื่อง "ประสบการณ์น้ำท่วมเชียงใหม่-หาดใหญ่ เราเรียนรู้อะไร ควรเตรียมการและปรับตัวอย่างไร</t>
  </si>
  <si>
    <t>สมาคมนักอุทกวิทยาไทย 
อ.ปากเกร็ด จ.นนทบุรี</t>
  </si>
  <si>
    <t>รศ.ดร.บัญชา ขวัญยืน</t>
  </si>
  <si>
    <t>วิทยากรบรรยายในหัวข้อ "ความรู้พื้นฐานเรื่องน้ำเสียระบบบำบัดน้ำเสีย และการนำพลังงานสะอาดมาใช้ในการบริหารจัดการระบบ
บำบัดน้ำเสีย"</t>
  </si>
  <si>
    <t>ผศ.ดร.นิธิรัชต์ สงวนเดือน</t>
  </si>
  <si>
    <t>เป็นผู้ทรงคุณวุฒิ
ประเมินบทความนานาชาติ</t>
  </si>
  <si>
    <t>วารสาร Energy Nexus</t>
  </si>
  <si>
    <t>รศ.ดร.ชัยศรี สุขสาโรจน์</t>
  </si>
  <si>
    <t>Journal of hydrology</t>
  </si>
  <si>
    <t xml:space="preserve">ผศ.ดร.เกศวรา สิทธิโชค </t>
  </si>
  <si>
    <t>ประชุมกรรมการลุ่มน้ำท่าจีนครั้งที่ 1/69</t>
  </si>
  <si>
    <t>สำนักงานทรัพยากรน้ำแห่งชาติภาค 2  (คณะกรรมการลุ่มน้ำท่าจีน)</t>
  </si>
  <si>
    <t>วารสาร Water</t>
  </si>
  <si>
    <t>วารสาร Water practice and technology</t>
  </si>
  <si>
    <t xml:space="preserve">วิทยากรค่ายพัฒนาทักษะทางวิชาการ ในหัวข้อ กิจกรรมศาสตร์ของวัสดุและการประคอง </t>
  </si>
  <si>
    <t xml:space="preserve">คณะศิลปศาสตร์และวิทยาศาสตร์ มก กพส </t>
  </si>
  <si>
    <t>ผศ.ดร.ชัยมงคล ลิ้มเพียรชอบ</t>
  </si>
  <si>
    <t>ภาควิชา
วิศวกรรมอุตสาหการ</t>
  </si>
  <si>
    <t>Review ต้นฉบับบทความวิจัยวารสารระดับนานาชาติ Computers and Electronics In Agriculture 1 เรื่อง</t>
  </si>
  <si>
    <t>วารสาร Computers and Electronics in Agriculture</t>
  </si>
  <si>
    <t>ผศ.ดร.วันรัฐ  อับดุลลากาซิม</t>
  </si>
  <si>
    <t>ภาควิชา
วิศวกรรมอาหาร</t>
  </si>
  <si>
    <t>เป็นอาจารย์พิเศษบรรยาย "การตรวจสอบคุณภาพผลผลิตทางการเกษตรแบบไม่ทำลาย"</t>
  </si>
  <si>
    <t>คณะเกษตรศาสตร์ ทรัพยากรธรรมชาติและสิ่งแวดล้อม ม.นเรศวร</t>
  </si>
  <si>
    <t>รศ.ดร.รณฤทธิ์ ฤทธิรณ</t>
  </si>
  <si>
    <t>เป็นผู้ให้การอบรมเกษตรกรสาธิตระบบให้น้ำและปุ๋ยอย่างแม่นยำ</t>
  </si>
  <si>
    <t>กลุ่มวิสาหกิจชุมชนมะม่วงบ้านแฮดเพื่อการส่งออก จ.ขอนแก่น และกลุ่มสตรีสหกรณ์การเกษตรไม้ผลบ้านโหล่น จ.ชัยภูมิ</t>
  </si>
  <si>
    <t>คณะกรรมการอำนวยการ ทสม. ระดับจังหวัด 
จังหวัดนครปฐม</t>
  </si>
  <si>
    <t>สำนักงานจังหวัดนครปฐม</t>
  </si>
  <si>
    <t>ผศ.นงลักษณ์ เล็กรุ่งเรืองกิจ</t>
  </si>
  <si>
    <t>ศูนย์ปฏิบัติการวิศวกรรม
พลังงานและสิ่งแวดล้อม</t>
  </si>
  <si>
    <t>การประชุมวิชาการระดับชาติ OR-NET2026</t>
  </si>
  <si>
    <t>รศ.ดร.ศศรส  ใจจิตร์</t>
  </si>
  <si>
    <t>การประชุมวิชาการระดับชาติ OR-NET2027</t>
  </si>
  <si>
    <t>ผศ.ดร.อณจ ชัยมณี</t>
  </si>
  <si>
    <t>เป็นคณะกรรมการอำนวยการและคณะกรรมการวิชาการของสมาคมคอนกรีตประจำปี
 พ.ศ.2569-2570</t>
  </si>
  <si>
    <t>สาธารณะชนและประเทศชาติ</t>
  </si>
  <si>
    <t>ผศ.ดร.เพ็ญพิชชา สนิทอินทร์</t>
  </si>
  <si>
    <t>ภาควิชา
วิศวกรรมโยธา</t>
  </si>
  <si>
    <t xml:space="preserve">Iranian Journal of Science and Technology, Transactions of Civil Engineering </t>
  </si>
  <si>
    <t>แต่งตั้งคณะกรรมการยุววิศวกร ประจำปี 2569-2571</t>
  </si>
  <si>
    <t>สมาคมวิศวกรรมสถาน
แห่งประเทศไทย 
ในพระราชูปถัมภ์</t>
  </si>
  <si>
    <t xml:space="preserve">วิทยากรบรรยายในหัวข้อ
"โครงการก่อสร้างอาคารนวัตกรรมการเรียนรู้ทางวิศวกรรมศาสตร์" </t>
  </si>
  <si>
    <t>นักศึกษาและอาจารย์
โครงการฝึกอบรมทางวิชาชีพและศึกษาดูงานสถานประกอบการ</t>
  </si>
  <si>
    <t>นายณัฐพล เสรีเผ่าวงษ์</t>
  </si>
  <si>
    <t>งานพัฒนากายภาพ</t>
  </si>
  <si>
    <t>จัดแสดงนิทรรศการผลงานวิจัยนวัตกรรมในงานเกษตรแฟร์ ประจำปี 2569</t>
  </si>
  <si>
    <t>ประชาชนทั่วไป</t>
  </si>
  <si>
    <t>นายภัทรพล ชูราศรี
นายรัตนศักดิ์ ทรัพย์เย็น
นางสาวธันยพร โส๊ะอ้น</t>
  </si>
  <si>
    <t xml:space="preserve"> 7 ก.พ. 69</t>
  </si>
  <si>
    <t>นักศึกษาปีที่ 1 
คณะศิลปศาสตร์และวิทยาศาสตร์ เข้าศึกษาดูงาน</t>
  </si>
  <si>
    <t>นักศึกษาปีที่ 1</t>
  </si>
  <si>
    <t>นางเนตรนภา วิชานงค์
นายภัทรพล ชูราศรี
นางสาวอทิตยา แผ้วไพบูลย์</t>
  </si>
  <si>
    <t>เข้าร่วมการประชุมคณะกรรมการอำนวยการ ทสม. ระดับจังหวัด
 จังหวัดนครปฐม</t>
  </si>
  <si>
    <t>คณะกรรมการอำนวยการ ทสม. ระดับจังหวัด จังหวัดนครปฐม</t>
  </si>
  <si>
    <t>ผศ.นงลักษณ์ เล็กรุ่งเรือง</t>
  </si>
  <si>
    <t>สำนักส่งเสริมฯ นำทีมผู้ประกอบการ เข้าศึกษาดูงาน</t>
  </si>
  <si>
    <t>ผู้ประกอบการ</t>
  </si>
  <si>
    <t>ผศ.นงลักษณ์ เล็กรุ่งเรือง
นายภัทรพล ชูราศรี
นายรัตนศักดิ์ ทรัพย์เย็น
นางณีรนุช ยอดเพชร
นางสาวอทิตยา แผ้วไพบูลย์</t>
  </si>
  <si>
    <t>คณะศึกษาดูงานจากสำนักงานส่งเสริมการปกครองท้องถิ่นจังหวัดนครปฐม ในการจัดกิจกรรมศึกษาเรียนรู้ “การกำจัดเศษใบไม้และกิ่งไม้ในบ้านเรือนและชุมชน ด้วยเตาเผาไร้ควัน” เพื่อสนับสนุนการดำเนินงานตามแผนปฏิบัติการจัดการขยะมูลฝอยชุมชน “จังหวัดสะอาด”
 ประจำปี พ.ศ. 2569</t>
  </si>
  <si>
    <t>ผู้แทนกลุ่มงานบริการสาธารณะและประสานงานท้องถิ่นอำเภอ</t>
  </si>
  <si>
    <t>ผศ.นงลักษณ์ เล็กรุ่งเรือง
นายอรรถวุทธิ์ รื่นเริงใจ
นายภัทรพล ชูราศรี
นายเจษฎาพร ด้วงแก้ว
นางสาวอทิตยา แผ้วไพบูลย์</t>
  </si>
  <si>
    <t>จัดนิทรรศการในงาน 3 อ. FOR FIT ณ สำนักส่งเสริมและฝึกอบรม กำแพงแสน</t>
  </si>
  <si>
    <t>นายรัตนศักดิ์ ทรัพย์เย็น
นายเจษฎาพร ด้วงแก้ว</t>
  </si>
  <si>
    <t>12-14
ก.พ. 69</t>
  </si>
  <si>
    <t>จัดนิทรรศการ ในงาน green gain day ต.กระตีบ 
อ.กำแพงแสน จ.นครปฐม</t>
  </si>
  <si>
    <t>เกษตรกรและชุมชน</t>
  </si>
  <si>
    <t>นางสาวธันยพร โส๊ะอ้น
นางณีรนุช ยอดเพชร</t>
  </si>
  <si>
    <t>ส่งมอบเครื่องอัดกระถางวัสดุจากธรรมชาติและเครื่องผสมวัสดุ พร้อมสาธิตการใช้งาน ให้กับโรงเรียนกาบเชิงวิทยา อำเภอกาบเชิง จังหวัดสุรินทร์</t>
  </si>
  <si>
    <t>คณะครูโรงเรียนกาบเชิงวิทยา อำเภอกาบเชิง จังหวัดสุรินทร์</t>
  </si>
  <si>
    <t>ผศ.นงลักษณ์ เล็กรุ่งเรือง
นายรัตนศักดิ์ ทรัพย์เย็น
นายเจษฎาพร ด้วงแก้ว
นายสมเกียรติ อิ่มจันทร์
นางสาวอทิตยา แผ้วไพบูลย์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</si>
</sst>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name val="TH Sarabun New"/>
      <family val="2"/>
    </font>
    <font>
      <sz val="16"/>
      <name val="TH Sarabun New"/>
      <family val="2"/>
    </font>
    <font>
      <sz val="10"/>
      <name val="Arial"/>
      <family val="2"/>
    </font>
    <font>
      <sz val="14"/>
      <name val="TH Sarabun New"/>
      <family val="2"/>
    </font>
    <font>
      <sz val="14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sz val="16"/>
      <name val="Wingdings"/>
      <charset val="2"/>
    </font>
    <font>
      <sz val="16"/>
      <name val="TH Sarabun New"/>
      <family val="2"/>
      <charset val="222"/>
    </font>
    <font>
      <sz val="15"/>
      <name val="TH Sarabun Ne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 vertical="top" wrapText="1" shrinkToFi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 shrinkToFit="1"/>
    </xf>
    <xf numFmtId="0" fontId="2" fillId="0" borderId="4" xfId="0" applyFont="1" applyBorder="1" applyAlignment="1">
      <alignment horizontal="center" vertical="top" wrapText="1" shrinkToFit="1"/>
    </xf>
    <xf numFmtId="0" fontId="2" fillId="0" borderId="2" xfId="0" applyFont="1" applyBorder="1" applyAlignment="1">
      <alignment horizontal="center" vertical="top" wrapText="1" shrinkToFit="1"/>
    </xf>
    <xf numFmtId="0" fontId="2" fillId="0" borderId="5" xfId="0" applyFont="1" applyBorder="1" applyAlignment="1">
      <alignment horizontal="center" vertical="top" wrapText="1" shrinkToFit="1"/>
    </xf>
    <xf numFmtId="0" fontId="2" fillId="0" borderId="6" xfId="0" applyFont="1" applyBorder="1" applyAlignment="1">
      <alignment horizontal="center" vertical="top" wrapText="1" shrinkToFit="1"/>
    </xf>
    <xf numFmtId="0" fontId="2" fillId="0" borderId="7" xfId="0" applyFont="1" applyBorder="1" applyAlignment="1">
      <alignment horizontal="center" vertical="top" wrapText="1" shrinkToFit="1"/>
    </xf>
    <xf numFmtId="187" fontId="2" fillId="0" borderId="5" xfId="2" applyNumberFormat="1" applyFont="1" applyBorder="1" applyAlignment="1">
      <alignment horizontal="center" vertical="top" wrapText="1" shrinkToFit="1"/>
    </xf>
    <xf numFmtId="0" fontId="2" fillId="0" borderId="3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43" fontId="2" fillId="0" borderId="5" xfId="1" applyFont="1" applyBorder="1" applyAlignment="1">
      <alignment horizontal="center" vertical="top" wrapText="1" shrinkToFit="1"/>
    </xf>
    <xf numFmtId="0" fontId="2" fillId="0" borderId="5" xfId="0" applyFont="1" applyBorder="1" applyAlignment="1">
      <alignment horizontal="center" vertical="top" textRotation="90"/>
    </xf>
    <xf numFmtId="0" fontId="3" fillId="0" borderId="0" xfId="0" applyFont="1" applyAlignment="1">
      <alignment vertical="top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 shrinkToFit="1"/>
    </xf>
    <xf numFmtId="0" fontId="2" fillId="0" borderId="10" xfId="0" applyFont="1" applyBorder="1" applyAlignment="1">
      <alignment horizontal="center" vertical="top" wrapText="1" shrinkToFit="1"/>
    </xf>
    <xf numFmtId="187" fontId="2" fillId="0" borderId="10" xfId="2" applyNumberFormat="1" applyFont="1" applyBorder="1" applyAlignment="1">
      <alignment horizontal="center" vertical="top" wrapText="1" shrinkToFit="1"/>
    </xf>
    <xf numFmtId="0" fontId="2" fillId="0" borderId="5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 shrinkToFit="1"/>
    </xf>
    <xf numFmtId="0" fontId="2" fillId="0" borderId="12" xfId="0" applyFont="1" applyBorder="1" applyAlignment="1">
      <alignment horizontal="center" vertical="top" wrapText="1" shrinkToFit="1"/>
    </xf>
    <xf numFmtId="43" fontId="2" fillId="0" borderId="10" xfId="1" applyFont="1" applyBorder="1" applyAlignment="1">
      <alignment horizontal="center" vertical="top" wrapText="1" shrinkToFit="1"/>
    </xf>
    <xf numFmtId="0" fontId="2" fillId="0" borderId="10" xfId="0" applyFont="1" applyBorder="1" applyAlignment="1">
      <alignment horizontal="center" vertical="top" textRotation="90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 shrinkToFit="1"/>
    </xf>
    <xf numFmtId="187" fontId="2" fillId="0" borderId="13" xfId="2" applyNumberFormat="1" applyFont="1" applyBorder="1" applyAlignment="1">
      <alignment horizontal="center" vertical="top" wrapText="1" shrinkToFit="1"/>
    </xf>
    <xf numFmtId="0" fontId="2" fillId="0" borderId="1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 shrinkToFit="1"/>
    </xf>
    <xf numFmtId="43" fontId="2" fillId="0" borderId="13" xfId="1" applyFont="1" applyBorder="1" applyAlignment="1">
      <alignment horizontal="center" vertical="top" wrapText="1" shrinkToFit="1"/>
    </xf>
    <xf numFmtId="0" fontId="2" fillId="0" borderId="13" xfId="0" applyFont="1" applyBorder="1" applyAlignment="1">
      <alignment horizontal="center" vertical="top" textRotation="90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 wrapText="1"/>
    </xf>
    <xf numFmtId="43" fontId="5" fillId="0" borderId="3" xfId="1" applyFont="1" applyBorder="1" applyAlignment="1">
      <alignment vertical="top"/>
    </xf>
    <xf numFmtId="43" fontId="5" fillId="0" borderId="3" xfId="0" applyNumberFormat="1" applyFont="1" applyBorder="1" applyAlignment="1">
      <alignment horizontal="center" textRotation="90"/>
    </xf>
    <xf numFmtId="15" fontId="5" fillId="0" borderId="3" xfId="0" applyNumberFormat="1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4" fontId="6" fillId="0" borderId="3" xfId="0" applyNumberFormat="1" applyFont="1" applyBorder="1" applyAlignment="1">
      <alignment vertical="top"/>
    </xf>
    <xf numFmtId="43" fontId="6" fillId="0" borderId="3" xfId="0" applyNumberFormat="1" applyFont="1" applyBorder="1" applyAlignment="1">
      <alignment horizontal="center" textRotation="90"/>
    </xf>
    <xf numFmtId="15" fontId="6" fillId="0" borderId="3" xfId="0" applyNumberFormat="1" applyFont="1" applyBorder="1" applyAlignment="1">
      <alignment horizontal="center" vertical="top"/>
    </xf>
    <xf numFmtId="15" fontId="6" fillId="0" borderId="3" xfId="0" applyNumberFormat="1" applyFont="1" applyBorder="1" applyAlignment="1">
      <alignment vertical="top"/>
    </xf>
    <xf numFmtId="43" fontId="6" fillId="0" borderId="3" xfId="1" applyFont="1" applyBorder="1" applyAlignment="1">
      <alignment horizontal="center" vertical="top"/>
    </xf>
    <xf numFmtId="0" fontId="6" fillId="0" borderId="3" xfId="0" applyFont="1" applyBorder="1" applyAlignment="1">
      <alignment vertical="top"/>
    </xf>
    <xf numFmtId="0" fontId="6" fillId="0" borderId="0" xfId="0" applyFont="1"/>
    <xf numFmtId="0" fontId="5" fillId="0" borderId="3" xfId="0" applyFont="1" applyBorder="1" applyAlignment="1">
      <alignment horizontal="center" wrapText="1"/>
    </xf>
    <xf numFmtId="4" fontId="5" fillId="0" borderId="3" xfId="0" applyNumberFormat="1" applyFont="1" applyBorder="1" applyAlignment="1">
      <alignment vertical="top"/>
    </xf>
    <xf numFmtId="43" fontId="5" fillId="0" borderId="3" xfId="0" applyNumberFormat="1" applyFont="1" applyBorder="1" applyAlignment="1">
      <alignment textRotation="90"/>
    </xf>
    <xf numFmtId="43" fontId="5" fillId="0" borderId="3" xfId="1" applyFont="1" applyBorder="1" applyAlignment="1">
      <alignment horizontal="center" textRotation="90"/>
    </xf>
    <xf numFmtId="0" fontId="5" fillId="0" borderId="3" xfId="0" applyFont="1" applyBorder="1" applyAlignment="1">
      <alignment vertical="top"/>
    </xf>
    <xf numFmtId="15" fontId="5" fillId="0" borderId="3" xfId="0" applyNumberFormat="1" applyFont="1" applyBorder="1" applyAlignment="1">
      <alignment vertical="top"/>
    </xf>
    <xf numFmtId="0" fontId="5" fillId="0" borderId="0" xfId="0" applyFont="1"/>
    <xf numFmtId="43" fontId="5" fillId="0" borderId="3" xfId="0" applyNumberFormat="1" applyFont="1" applyBorder="1" applyAlignment="1">
      <alignment horizontal="center" vertical="top" textRotation="90"/>
    </xf>
    <xf numFmtId="43" fontId="5" fillId="0" borderId="3" xfId="1" applyFont="1" applyBorder="1" applyAlignment="1">
      <alignment horizontal="center" vertical="top" textRotation="90"/>
    </xf>
    <xf numFmtId="43" fontId="5" fillId="0" borderId="3" xfId="1" applyFont="1" applyBorder="1" applyAlignment="1"/>
    <xf numFmtId="0" fontId="5" fillId="0" borderId="3" xfId="0" applyFont="1" applyBorder="1"/>
    <xf numFmtId="4" fontId="5" fillId="0" borderId="3" xfId="0" applyNumberFormat="1" applyFont="1" applyBorder="1" applyAlignment="1">
      <alignment horizontal="right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43" fontId="3" fillId="0" borderId="0" xfId="1" applyFont="1" applyAlignment="1"/>
    <xf numFmtId="0" fontId="7" fillId="0" borderId="0" xfId="0" applyFont="1" applyFill="1" applyAlignment="1">
      <alignment horizontal="center"/>
    </xf>
    <xf numFmtId="0" fontId="8" fillId="0" borderId="0" xfId="0" applyFont="1" applyFill="1"/>
    <xf numFmtId="0" fontId="7" fillId="0" borderId="1" xfId="0" applyFont="1" applyFill="1" applyBorder="1" applyAlignment="1">
      <alignment horizontal="center"/>
    </xf>
    <xf numFmtId="0" fontId="3" fillId="0" borderId="0" xfId="0" applyFont="1" applyFill="1"/>
    <xf numFmtId="0" fontId="7" fillId="0" borderId="3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/>
    </xf>
    <xf numFmtId="0" fontId="7" fillId="0" borderId="6" xfId="0" applyFont="1" applyFill="1" applyBorder="1" applyAlignment="1">
      <alignment horizontal="center" vertical="top"/>
    </xf>
    <xf numFmtId="0" fontId="7" fillId="0" borderId="14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center" vertical="top"/>
    </xf>
    <xf numFmtId="0" fontId="7" fillId="0" borderId="3" xfId="0" applyFont="1" applyFill="1" applyBorder="1" applyAlignment="1">
      <alignment horizontal="center" vertical="top" textRotation="90"/>
    </xf>
    <xf numFmtId="0" fontId="7" fillId="0" borderId="3" xfId="0" applyFont="1" applyFill="1" applyBorder="1" applyAlignment="1">
      <alignment vertical="top" textRotation="90"/>
    </xf>
    <xf numFmtId="0" fontId="3" fillId="0" borderId="3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 wrapText="1"/>
    </xf>
    <xf numFmtId="0" fontId="9" fillId="0" borderId="3" xfId="0" applyFont="1" applyFill="1" applyBorder="1" applyAlignment="1">
      <alignment vertical="top"/>
    </xf>
    <xf numFmtId="0" fontId="3" fillId="0" borderId="3" xfId="0" applyFont="1" applyFill="1" applyBorder="1" applyAlignment="1">
      <alignment vertical="top"/>
    </xf>
    <xf numFmtId="15" fontId="3" fillId="0" borderId="3" xfId="0" applyNumberFormat="1" applyFont="1" applyFill="1" applyBorder="1" applyAlignment="1">
      <alignment horizontal="center" vertical="top"/>
    </xf>
    <xf numFmtId="0" fontId="3" fillId="0" borderId="3" xfId="0" applyFont="1" applyFill="1" applyBorder="1"/>
    <xf numFmtId="0" fontId="10" fillId="0" borderId="3" xfId="0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vertical="top"/>
    </xf>
    <xf numFmtId="15" fontId="10" fillId="0" borderId="3" xfId="0" applyNumberFormat="1" applyFont="1" applyFill="1" applyBorder="1" applyAlignment="1">
      <alignment horizontal="center" vertical="top"/>
    </xf>
    <xf numFmtId="0" fontId="10" fillId="0" borderId="3" xfId="0" applyFont="1" applyFill="1" applyBorder="1"/>
    <xf numFmtId="0" fontId="10" fillId="0" borderId="0" xfId="0" applyFont="1" applyFill="1"/>
    <xf numFmtId="0" fontId="11" fillId="0" borderId="3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 vertical="top" wrapText="1"/>
    </xf>
    <xf numFmtId="15" fontId="3" fillId="0" borderId="3" xfId="0" applyNumberFormat="1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vertical="top"/>
    </xf>
    <xf numFmtId="15" fontId="3" fillId="0" borderId="0" xfId="0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wrapText="1"/>
    </xf>
  </cellXfs>
  <cellStyles count="3">
    <cellStyle name="Comma 2" xfId="2" xr:uid="{71431300-EDB9-49F2-A86C-0797EB2BDB38}"/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1C9C-C466-4151-8A57-5CA1D9694DBA}">
  <dimension ref="A1:X16"/>
  <sheetViews>
    <sheetView topLeftCell="A15" zoomScale="90" zoomScaleNormal="90" workbookViewId="0">
      <selection activeCell="E7" sqref="E7"/>
    </sheetView>
  </sheetViews>
  <sheetFormatPr defaultColWidth="9" defaultRowHeight="24" x14ac:dyDescent="0.55000000000000004"/>
  <cols>
    <col min="1" max="1" width="4.875" style="2" customWidth="1"/>
    <col min="2" max="2" width="23.375" style="2" customWidth="1"/>
    <col min="3" max="3" width="20.125" style="62" customWidth="1"/>
    <col min="4" max="4" width="6.375" style="62" customWidth="1"/>
    <col min="5" max="5" width="7.375" style="62" customWidth="1"/>
    <col min="6" max="6" width="15.25" style="63" customWidth="1"/>
    <col min="7" max="7" width="10.75" style="64" customWidth="1"/>
    <col min="8" max="8" width="13.625" style="64" customWidth="1"/>
    <col min="9" max="9" width="12.5" style="2" customWidth="1"/>
    <col min="10" max="10" width="5.875" style="2" customWidth="1"/>
    <col min="11" max="12" width="5.125" style="2" customWidth="1"/>
    <col min="13" max="13" width="4.375" style="2" customWidth="1"/>
    <col min="14" max="14" width="9.125" style="2" customWidth="1"/>
    <col min="15" max="15" width="9.625" style="2" customWidth="1"/>
    <col min="16" max="17" width="8.625" style="2" customWidth="1"/>
    <col min="18" max="18" width="9.75" style="2" customWidth="1"/>
    <col min="19" max="19" width="8.875" style="2" customWidth="1"/>
    <col min="20" max="20" width="8" style="2" customWidth="1"/>
    <col min="21" max="21" width="8.625" style="62" customWidth="1"/>
    <col min="22" max="22" width="10.625" style="2" customWidth="1"/>
    <col min="23" max="23" width="9.125" style="65" customWidth="1"/>
    <col min="24" max="24" width="7.75" style="2" customWidth="1"/>
    <col min="25" max="25" width="10.375" style="2" bestFit="1" customWidth="1"/>
    <col min="26" max="16384" width="9" style="2"/>
  </cols>
  <sheetData>
    <row r="1" spans="1:24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.75" customHeight="1" x14ac:dyDescent="0.5500000000000000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s="18" customFormat="1" ht="24.75" customHeight="1" x14ac:dyDescent="0.2">
      <c r="A3" s="4" t="s">
        <v>2</v>
      </c>
      <c r="B3" s="5" t="s">
        <v>3</v>
      </c>
      <c r="C3" s="6" t="s">
        <v>4</v>
      </c>
      <c r="D3" s="7" t="s">
        <v>5</v>
      </c>
      <c r="E3" s="6"/>
      <c r="F3" s="8" t="s">
        <v>6</v>
      </c>
      <c r="G3" s="9" t="s">
        <v>7</v>
      </c>
      <c r="H3" s="10"/>
      <c r="I3" s="11" t="s">
        <v>8</v>
      </c>
      <c r="J3" s="12" t="s">
        <v>9</v>
      </c>
      <c r="K3" s="12"/>
      <c r="L3" s="12"/>
      <c r="M3" s="12"/>
      <c r="N3" s="13" t="s">
        <v>10</v>
      </c>
      <c r="O3" s="14"/>
      <c r="P3" s="13" t="s">
        <v>11</v>
      </c>
      <c r="Q3" s="14"/>
      <c r="R3" s="7" t="s">
        <v>12</v>
      </c>
      <c r="S3" s="6"/>
      <c r="T3" s="7" t="s">
        <v>13</v>
      </c>
      <c r="U3" s="6"/>
      <c r="V3" s="15" t="s">
        <v>14</v>
      </c>
      <c r="W3" s="16" t="s">
        <v>15</v>
      </c>
      <c r="X3" s="17" t="s">
        <v>16</v>
      </c>
    </row>
    <row r="4" spans="1:24" s="18" customFormat="1" ht="36" customHeight="1" x14ac:dyDescent="0.2">
      <c r="A4" s="19"/>
      <c r="B4" s="5"/>
      <c r="C4" s="20"/>
      <c r="D4" s="8" t="s">
        <v>17</v>
      </c>
      <c r="E4" s="8" t="s">
        <v>18</v>
      </c>
      <c r="F4" s="21"/>
      <c r="G4" s="8" t="s">
        <v>19</v>
      </c>
      <c r="H4" s="8" t="s">
        <v>20</v>
      </c>
      <c r="I4" s="22"/>
      <c r="J4" s="15" t="s">
        <v>21</v>
      </c>
      <c r="K4" s="15" t="s">
        <v>22</v>
      </c>
      <c r="L4" s="15" t="s">
        <v>23</v>
      </c>
      <c r="M4" s="15" t="s">
        <v>24</v>
      </c>
      <c r="N4" s="23" t="s">
        <v>25</v>
      </c>
      <c r="O4" s="23" t="s">
        <v>26</v>
      </c>
      <c r="P4" s="23" t="s">
        <v>27</v>
      </c>
      <c r="Q4" s="23" t="s">
        <v>28</v>
      </c>
      <c r="R4" s="24"/>
      <c r="S4" s="25"/>
      <c r="T4" s="24"/>
      <c r="U4" s="25"/>
      <c r="V4" s="15"/>
      <c r="W4" s="26"/>
      <c r="X4" s="27"/>
    </row>
    <row r="5" spans="1:24" s="18" customFormat="1" ht="66.75" customHeight="1" x14ac:dyDescent="0.2">
      <c r="A5" s="28"/>
      <c r="B5" s="5"/>
      <c r="C5" s="25"/>
      <c r="D5" s="29"/>
      <c r="E5" s="29"/>
      <c r="F5" s="29"/>
      <c r="G5" s="29"/>
      <c r="H5" s="29"/>
      <c r="I5" s="30"/>
      <c r="J5" s="12"/>
      <c r="K5" s="12"/>
      <c r="L5" s="12"/>
      <c r="M5" s="12"/>
      <c r="N5" s="31"/>
      <c r="O5" s="31"/>
      <c r="P5" s="31"/>
      <c r="Q5" s="31"/>
      <c r="R5" s="32" t="s">
        <v>29</v>
      </c>
      <c r="S5" s="32" t="s">
        <v>30</v>
      </c>
      <c r="T5" s="32" t="s">
        <v>29</v>
      </c>
      <c r="U5" s="32" t="s">
        <v>30</v>
      </c>
      <c r="V5" s="15"/>
      <c r="W5" s="33"/>
      <c r="X5" s="34"/>
    </row>
    <row r="6" spans="1:24" s="40" customFormat="1" ht="108.75" x14ac:dyDescent="0.2">
      <c r="A6" s="35">
        <v>1</v>
      </c>
      <c r="B6" s="36" t="s">
        <v>31</v>
      </c>
      <c r="C6" s="35" t="s">
        <v>32</v>
      </c>
      <c r="D6" s="35">
        <v>2</v>
      </c>
      <c r="E6" s="35" t="s">
        <v>33</v>
      </c>
      <c r="F6" s="36" t="s">
        <v>34</v>
      </c>
      <c r="G6" s="35" t="s">
        <v>33</v>
      </c>
      <c r="H6" s="36" t="s">
        <v>35</v>
      </c>
      <c r="I6" s="37">
        <v>1000000</v>
      </c>
      <c r="J6" s="38">
        <f>I6*15%</f>
        <v>150000</v>
      </c>
      <c r="K6" s="38">
        <f>J6/3</f>
        <v>50000</v>
      </c>
      <c r="L6" s="38">
        <f>J6/3</f>
        <v>50000</v>
      </c>
      <c r="M6" s="38">
        <f>J6/3</f>
        <v>50000</v>
      </c>
      <c r="N6" s="36" t="s">
        <v>33</v>
      </c>
      <c r="O6" s="35" t="s">
        <v>33</v>
      </c>
      <c r="P6" s="35" t="s">
        <v>33</v>
      </c>
      <c r="Q6" s="35" t="s">
        <v>33</v>
      </c>
      <c r="R6" s="39">
        <v>25225</v>
      </c>
      <c r="S6" s="39">
        <v>25598</v>
      </c>
      <c r="T6" s="39" t="s">
        <v>36</v>
      </c>
      <c r="U6" s="39" t="s">
        <v>36</v>
      </c>
      <c r="V6" s="35" t="s">
        <v>37</v>
      </c>
      <c r="W6" s="37"/>
      <c r="X6" s="36"/>
    </row>
    <row r="7" spans="1:24" s="49" customFormat="1" ht="130.5" x14ac:dyDescent="0.5">
      <c r="A7" s="41">
        <v>2</v>
      </c>
      <c r="B7" s="42" t="s">
        <v>38</v>
      </c>
      <c r="C7" s="41" t="s">
        <v>39</v>
      </c>
      <c r="D7" s="41">
        <v>6</v>
      </c>
      <c r="E7" s="41">
        <v>1</v>
      </c>
      <c r="F7" s="42" t="s">
        <v>40</v>
      </c>
      <c r="G7" s="41" t="s">
        <v>33</v>
      </c>
      <c r="H7" s="41" t="s">
        <v>41</v>
      </c>
      <c r="I7" s="43">
        <v>2990000</v>
      </c>
      <c r="J7" s="44">
        <f t="shared" ref="J7:J8" si="0">I7*15%</f>
        <v>448500</v>
      </c>
      <c r="K7" s="44">
        <f t="shared" ref="K7:K16" si="1">J7/3</f>
        <v>149500</v>
      </c>
      <c r="L7" s="44">
        <f t="shared" ref="L7:L16" si="2">J7/3</f>
        <v>149500</v>
      </c>
      <c r="M7" s="44">
        <f t="shared" ref="M7:M16" si="3">J7/3</f>
        <v>149500</v>
      </c>
      <c r="N7" s="42" t="s">
        <v>42</v>
      </c>
      <c r="O7" s="41" t="s">
        <v>33</v>
      </c>
      <c r="P7" s="41" t="s">
        <v>33</v>
      </c>
      <c r="Q7" s="41" t="s">
        <v>33</v>
      </c>
      <c r="R7" s="45">
        <v>25166</v>
      </c>
      <c r="S7" s="45">
        <v>25485</v>
      </c>
      <c r="T7" s="45">
        <v>25112</v>
      </c>
      <c r="U7" s="46">
        <v>25568</v>
      </c>
      <c r="V7" s="41" t="s">
        <v>43</v>
      </c>
      <c r="W7" s="47"/>
      <c r="X7" s="48"/>
    </row>
    <row r="8" spans="1:24" s="49" customFormat="1" ht="108.75" x14ac:dyDescent="0.5">
      <c r="A8" s="41">
        <v>3</v>
      </c>
      <c r="B8" s="42" t="s">
        <v>44</v>
      </c>
      <c r="C8" s="41" t="s">
        <v>39</v>
      </c>
      <c r="D8" s="41">
        <v>9</v>
      </c>
      <c r="E8" s="41">
        <v>1</v>
      </c>
      <c r="F8" s="42" t="s">
        <v>40</v>
      </c>
      <c r="G8" s="41" t="s">
        <v>33</v>
      </c>
      <c r="H8" s="41" t="s">
        <v>41</v>
      </c>
      <c r="I8" s="43">
        <v>4990000</v>
      </c>
      <c r="J8" s="44">
        <f t="shared" si="0"/>
        <v>748500</v>
      </c>
      <c r="K8" s="44">
        <f t="shared" si="1"/>
        <v>249500</v>
      </c>
      <c r="L8" s="44">
        <f t="shared" si="2"/>
        <v>249500</v>
      </c>
      <c r="M8" s="44">
        <f t="shared" si="3"/>
        <v>249500</v>
      </c>
      <c r="N8" s="42" t="s">
        <v>45</v>
      </c>
      <c r="O8" s="41" t="s">
        <v>33</v>
      </c>
      <c r="P8" s="41" t="s">
        <v>33</v>
      </c>
      <c r="Q8" s="41" t="s">
        <v>33</v>
      </c>
      <c r="R8" s="45">
        <v>25231</v>
      </c>
      <c r="S8" s="45">
        <v>25625</v>
      </c>
      <c r="T8" s="45">
        <v>25231</v>
      </c>
      <c r="U8" s="46">
        <v>25296</v>
      </c>
      <c r="V8" s="41" t="s">
        <v>46</v>
      </c>
      <c r="W8" s="47"/>
      <c r="X8" s="48"/>
    </row>
    <row r="9" spans="1:24" ht="196.5" x14ac:dyDescent="0.55000000000000004">
      <c r="A9" s="35">
        <v>4</v>
      </c>
      <c r="B9" s="50" t="s">
        <v>47</v>
      </c>
      <c r="C9" s="35" t="s">
        <v>48</v>
      </c>
      <c r="D9" s="35">
        <v>8</v>
      </c>
      <c r="E9" s="35">
        <v>3</v>
      </c>
      <c r="F9" s="36" t="s">
        <v>40</v>
      </c>
      <c r="G9" s="35" t="s">
        <v>33</v>
      </c>
      <c r="H9" s="36" t="s">
        <v>49</v>
      </c>
      <c r="I9" s="51">
        <v>24870300</v>
      </c>
      <c r="J9" s="38">
        <f>(I9-W9)*15%</f>
        <v>900000</v>
      </c>
      <c r="K9" s="52">
        <f t="shared" si="1"/>
        <v>300000</v>
      </c>
      <c r="L9" s="52">
        <f t="shared" si="2"/>
        <v>300000</v>
      </c>
      <c r="M9" s="52">
        <f t="shared" si="3"/>
        <v>300000</v>
      </c>
      <c r="N9" s="36" t="s">
        <v>50</v>
      </c>
      <c r="O9" s="35" t="s">
        <v>33</v>
      </c>
      <c r="P9" s="35" t="s">
        <v>33</v>
      </c>
      <c r="Q9" s="35" t="s">
        <v>33</v>
      </c>
      <c r="R9" s="39">
        <v>25236</v>
      </c>
      <c r="S9" s="39">
        <v>26511</v>
      </c>
      <c r="T9" s="39">
        <v>25537</v>
      </c>
      <c r="U9" s="39">
        <v>25658</v>
      </c>
      <c r="V9" s="35" t="s">
        <v>51</v>
      </c>
      <c r="W9" s="53">
        <v>18870300</v>
      </c>
      <c r="X9" s="54" t="s">
        <v>52</v>
      </c>
    </row>
    <row r="10" spans="1:24" ht="152.25" x14ac:dyDescent="0.55000000000000004">
      <c r="A10" s="35">
        <v>5</v>
      </c>
      <c r="B10" s="36" t="s">
        <v>53</v>
      </c>
      <c r="C10" s="35" t="s">
        <v>48</v>
      </c>
      <c r="D10" s="35">
        <v>8</v>
      </c>
      <c r="E10" s="35">
        <v>3</v>
      </c>
      <c r="F10" s="36" t="s">
        <v>40</v>
      </c>
      <c r="G10" s="35" t="s">
        <v>33</v>
      </c>
      <c r="H10" s="36" t="s">
        <v>49</v>
      </c>
      <c r="I10" s="51">
        <v>24900000</v>
      </c>
      <c r="J10" s="38">
        <f>(I10-W10)*15%</f>
        <v>900000</v>
      </c>
      <c r="K10" s="52">
        <f t="shared" si="1"/>
        <v>300000</v>
      </c>
      <c r="L10" s="52">
        <f t="shared" si="2"/>
        <v>300000</v>
      </c>
      <c r="M10" s="52">
        <f t="shared" si="3"/>
        <v>300000</v>
      </c>
      <c r="N10" s="36" t="s">
        <v>50</v>
      </c>
      <c r="O10" s="35" t="s">
        <v>33</v>
      </c>
      <c r="P10" s="35" t="s">
        <v>33</v>
      </c>
      <c r="Q10" s="35" t="s">
        <v>33</v>
      </c>
      <c r="R10" s="39">
        <v>25236</v>
      </c>
      <c r="S10" s="39">
        <v>26511</v>
      </c>
      <c r="T10" s="39">
        <v>25530</v>
      </c>
      <c r="U10" s="39">
        <v>25658</v>
      </c>
      <c r="V10" s="35" t="s">
        <v>54</v>
      </c>
      <c r="W10" s="53">
        <v>18900000</v>
      </c>
      <c r="X10" s="54" t="s">
        <v>52</v>
      </c>
    </row>
    <row r="11" spans="1:24" s="56" customFormat="1" ht="195.75" x14ac:dyDescent="0.5">
      <c r="A11" s="35">
        <v>6</v>
      </c>
      <c r="B11" s="50" t="s">
        <v>55</v>
      </c>
      <c r="C11" s="35" t="s">
        <v>48</v>
      </c>
      <c r="D11" s="35">
        <v>8</v>
      </c>
      <c r="E11" s="35">
        <v>3</v>
      </c>
      <c r="F11" s="36" t="s">
        <v>40</v>
      </c>
      <c r="G11" s="35" t="s">
        <v>33</v>
      </c>
      <c r="H11" s="36" t="s">
        <v>49</v>
      </c>
      <c r="I11" s="51">
        <v>24461600</v>
      </c>
      <c r="J11" s="38">
        <f>(I11-W11)*15%</f>
        <v>900000</v>
      </c>
      <c r="K11" s="38">
        <f t="shared" si="1"/>
        <v>300000</v>
      </c>
      <c r="L11" s="38">
        <f t="shared" si="2"/>
        <v>300000</v>
      </c>
      <c r="M11" s="38">
        <f t="shared" si="3"/>
        <v>300000</v>
      </c>
      <c r="N11" s="36" t="s">
        <v>50</v>
      </c>
      <c r="O11" s="35" t="s">
        <v>33</v>
      </c>
      <c r="P11" s="35" t="s">
        <v>33</v>
      </c>
      <c r="Q11" s="35" t="s">
        <v>33</v>
      </c>
      <c r="R11" s="39">
        <v>25236</v>
      </c>
      <c r="S11" s="39">
        <v>26511</v>
      </c>
      <c r="T11" s="55">
        <v>25537</v>
      </c>
      <c r="U11" s="55">
        <v>25658</v>
      </c>
      <c r="V11" s="35" t="s">
        <v>56</v>
      </c>
      <c r="W11" s="53">
        <v>18461600</v>
      </c>
      <c r="X11" s="54" t="s">
        <v>52</v>
      </c>
    </row>
    <row r="12" spans="1:24" s="40" customFormat="1" ht="130.5" x14ac:dyDescent="0.2">
      <c r="A12" s="35">
        <v>7</v>
      </c>
      <c r="B12" s="36" t="s">
        <v>57</v>
      </c>
      <c r="C12" s="35" t="s">
        <v>48</v>
      </c>
      <c r="D12" s="35">
        <v>9</v>
      </c>
      <c r="E12" s="35">
        <v>4</v>
      </c>
      <c r="F12" s="36" t="s">
        <v>40</v>
      </c>
      <c r="G12" s="35" t="s">
        <v>33</v>
      </c>
      <c r="H12" s="36" t="s">
        <v>58</v>
      </c>
      <c r="I12" s="51">
        <v>15637800</v>
      </c>
      <c r="J12" s="57">
        <f>(I12-W12)*15%</f>
        <v>557700</v>
      </c>
      <c r="K12" s="38">
        <f t="shared" si="1"/>
        <v>185900</v>
      </c>
      <c r="L12" s="38">
        <f t="shared" si="2"/>
        <v>185900</v>
      </c>
      <c r="M12" s="38">
        <f t="shared" si="3"/>
        <v>185900</v>
      </c>
      <c r="N12" s="36" t="s">
        <v>50</v>
      </c>
      <c r="O12" s="35" t="s">
        <v>33</v>
      </c>
      <c r="P12" s="35" t="s">
        <v>33</v>
      </c>
      <c r="Q12" s="35" t="s">
        <v>33</v>
      </c>
      <c r="R12" s="39">
        <v>25250</v>
      </c>
      <c r="S12" s="39">
        <v>26237</v>
      </c>
      <c r="T12" s="55">
        <v>25894</v>
      </c>
      <c r="U12" s="55">
        <v>26023</v>
      </c>
      <c r="V12" s="35" t="s">
        <v>59</v>
      </c>
      <c r="W12" s="58">
        <v>11919800</v>
      </c>
      <c r="X12" s="54" t="s">
        <v>52</v>
      </c>
    </row>
    <row r="13" spans="1:24" s="56" customFormat="1" ht="174" x14ac:dyDescent="0.5">
      <c r="A13" s="35">
        <v>8</v>
      </c>
      <c r="B13" s="36" t="s">
        <v>60</v>
      </c>
      <c r="C13" s="41" t="s">
        <v>39</v>
      </c>
      <c r="D13" s="35">
        <v>11</v>
      </c>
      <c r="E13" s="35">
        <v>4</v>
      </c>
      <c r="F13" s="36" t="s">
        <v>40</v>
      </c>
      <c r="G13" s="35" t="s">
        <v>33</v>
      </c>
      <c r="H13" s="36" t="s">
        <v>61</v>
      </c>
      <c r="I13" s="37">
        <v>4847000</v>
      </c>
      <c r="J13" s="38">
        <f>I13*15%</f>
        <v>727050</v>
      </c>
      <c r="K13" s="38">
        <f t="shared" si="1"/>
        <v>242350</v>
      </c>
      <c r="L13" s="38">
        <f t="shared" si="2"/>
        <v>242350</v>
      </c>
      <c r="M13" s="38">
        <f t="shared" si="3"/>
        <v>242350</v>
      </c>
      <c r="N13" s="36" t="s">
        <v>42</v>
      </c>
      <c r="O13" s="35" t="s">
        <v>33</v>
      </c>
      <c r="P13" s="35" t="s">
        <v>33</v>
      </c>
      <c r="Q13" s="35" t="s">
        <v>33</v>
      </c>
      <c r="R13" s="39">
        <v>25237</v>
      </c>
      <c r="S13" s="39">
        <v>25567</v>
      </c>
      <c r="T13" s="39">
        <v>25237</v>
      </c>
      <c r="U13" s="39">
        <v>25625</v>
      </c>
      <c r="V13" s="35" t="s">
        <v>62</v>
      </c>
      <c r="W13" s="59"/>
      <c r="X13" s="60"/>
    </row>
    <row r="14" spans="1:24" ht="65.25" x14ac:dyDescent="0.55000000000000004">
      <c r="A14" s="35">
        <v>9</v>
      </c>
      <c r="B14" s="36" t="s">
        <v>63</v>
      </c>
      <c r="C14" s="35" t="s">
        <v>64</v>
      </c>
      <c r="D14" s="35">
        <v>8</v>
      </c>
      <c r="E14" s="35">
        <v>2</v>
      </c>
      <c r="F14" s="36" t="s">
        <v>40</v>
      </c>
      <c r="G14" s="35" t="s">
        <v>33</v>
      </c>
      <c r="H14" s="36" t="s">
        <v>65</v>
      </c>
      <c r="I14" s="51">
        <v>2595440</v>
      </c>
      <c r="J14" s="38">
        <f>I14*15%</f>
        <v>389316</v>
      </c>
      <c r="K14" s="38">
        <f t="shared" si="1"/>
        <v>129772</v>
      </c>
      <c r="L14" s="38">
        <f t="shared" si="2"/>
        <v>129772</v>
      </c>
      <c r="M14" s="38">
        <f t="shared" si="3"/>
        <v>129772</v>
      </c>
      <c r="N14" s="35" t="s">
        <v>33</v>
      </c>
      <c r="O14" s="35" t="s">
        <v>33</v>
      </c>
      <c r="P14" s="35" t="s">
        <v>33</v>
      </c>
      <c r="Q14" s="35" t="s">
        <v>33</v>
      </c>
      <c r="R14" s="39">
        <v>25263</v>
      </c>
      <c r="S14" s="39">
        <v>25568</v>
      </c>
      <c r="T14" s="35" t="s">
        <v>36</v>
      </c>
      <c r="U14" s="35" t="s">
        <v>36</v>
      </c>
      <c r="V14" s="35" t="s">
        <v>66</v>
      </c>
      <c r="W14" s="59"/>
      <c r="X14" s="60"/>
    </row>
    <row r="15" spans="1:24" ht="131.25" x14ac:dyDescent="0.55000000000000004">
      <c r="A15" s="35">
        <v>10</v>
      </c>
      <c r="B15" s="50" t="s">
        <v>38</v>
      </c>
      <c r="C15" s="41" t="s">
        <v>39</v>
      </c>
      <c r="D15" s="35">
        <v>7</v>
      </c>
      <c r="E15" s="35">
        <v>2</v>
      </c>
      <c r="F15" s="36" t="s">
        <v>40</v>
      </c>
      <c r="G15" s="35" t="s">
        <v>33</v>
      </c>
      <c r="H15" s="35" t="s">
        <v>41</v>
      </c>
      <c r="I15" s="61">
        <v>2999000</v>
      </c>
      <c r="J15" s="38">
        <f>I15*15%</f>
        <v>449850</v>
      </c>
      <c r="K15" s="38">
        <f t="shared" si="1"/>
        <v>149950</v>
      </c>
      <c r="L15" s="38">
        <f t="shared" si="2"/>
        <v>149950</v>
      </c>
      <c r="M15" s="38">
        <f t="shared" si="3"/>
        <v>149950</v>
      </c>
      <c r="N15" s="36" t="s">
        <v>42</v>
      </c>
      <c r="O15" s="35" t="s">
        <v>33</v>
      </c>
      <c r="P15" s="35" t="s">
        <v>33</v>
      </c>
      <c r="Q15" s="35" t="s">
        <v>33</v>
      </c>
      <c r="R15" s="39">
        <v>25239</v>
      </c>
      <c r="S15" s="39">
        <v>25600</v>
      </c>
      <c r="T15" s="39">
        <v>25240</v>
      </c>
      <c r="U15" s="39">
        <v>25600</v>
      </c>
      <c r="V15" s="35" t="s">
        <v>67</v>
      </c>
      <c r="W15" s="59"/>
      <c r="X15" s="60"/>
    </row>
    <row r="16" spans="1:24" s="56" customFormat="1" ht="108.75" x14ac:dyDescent="0.5">
      <c r="A16" s="35">
        <v>11</v>
      </c>
      <c r="B16" s="36" t="s">
        <v>68</v>
      </c>
      <c r="C16" s="35" t="s">
        <v>39</v>
      </c>
      <c r="D16" s="35">
        <v>4</v>
      </c>
      <c r="E16" s="35">
        <v>1</v>
      </c>
      <c r="F16" s="36" t="s">
        <v>40</v>
      </c>
      <c r="G16" s="35" t="s">
        <v>33</v>
      </c>
      <c r="H16" s="35" t="s">
        <v>69</v>
      </c>
      <c r="I16" s="51">
        <v>335000</v>
      </c>
      <c r="J16" s="53">
        <f>I16*15%</f>
        <v>50250</v>
      </c>
      <c r="K16" s="53">
        <f t="shared" si="1"/>
        <v>16750</v>
      </c>
      <c r="L16" s="53">
        <f t="shared" si="2"/>
        <v>16750</v>
      </c>
      <c r="M16" s="53">
        <f t="shared" si="3"/>
        <v>16750</v>
      </c>
      <c r="N16" s="50" t="s">
        <v>70</v>
      </c>
      <c r="O16" s="35" t="s">
        <v>33</v>
      </c>
      <c r="P16" s="35" t="s">
        <v>33</v>
      </c>
      <c r="Q16" s="35" t="s">
        <v>33</v>
      </c>
      <c r="R16" s="39">
        <v>25222</v>
      </c>
      <c r="S16" s="39">
        <v>25567</v>
      </c>
      <c r="T16" s="39">
        <v>25222</v>
      </c>
      <c r="U16" s="39">
        <v>25567</v>
      </c>
      <c r="V16" s="35" t="s">
        <v>71</v>
      </c>
      <c r="W16" s="59"/>
      <c r="X16" s="60"/>
    </row>
  </sheetData>
  <mergeCells count="29">
    <mergeCell ref="X3:X5"/>
    <mergeCell ref="D4:D5"/>
    <mergeCell ref="E4:E5"/>
    <mergeCell ref="G4:G5"/>
    <mergeCell ref="H4:H5"/>
    <mergeCell ref="J4:J5"/>
    <mergeCell ref="K4:K5"/>
    <mergeCell ref="L4:L5"/>
    <mergeCell ref="M4:M5"/>
    <mergeCell ref="N4:N5"/>
    <mergeCell ref="N3:O3"/>
    <mergeCell ref="P3:Q3"/>
    <mergeCell ref="R3:S4"/>
    <mergeCell ref="T3:U4"/>
    <mergeCell ref="V3:V5"/>
    <mergeCell ref="W3:W5"/>
    <mergeCell ref="O4:O5"/>
    <mergeCell ref="P4:P5"/>
    <mergeCell ref="Q4:Q5"/>
    <mergeCell ref="A1:X1"/>
    <mergeCell ref="A2:X2"/>
    <mergeCell ref="A3:A5"/>
    <mergeCell ref="B3:B5"/>
    <mergeCell ref="C3:C5"/>
    <mergeCell ref="D3:E3"/>
    <mergeCell ref="F3:F5"/>
    <mergeCell ref="G3:H3"/>
    <mergeCell ref="I3:I5"/>
    <mergeCell ref="J3:M3"/>
  </mergeCells>
  <pageMargins left="0.23622047244094491" right="0" top="0.19685039370078741" bottom="0" header="0.19685039370078741" footer="0"/>
  <pageSetup paperSize="9" scale="58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02C4-2C16-4E78-95F2-423417B21A6A}">
  <sheetPr>
    <tabColor theme="9" tint="0.79998168889431442"/>
  </sheetPr>
  <dimension ref="A1:O50"/>
  <sheetViews>
    <sheetView tabSelected="1" zoomScaleNormal="100" workbookViewId="0">
      <selection activeCell="C39" sqref="C39"/>
    </sheetView>
  </sheetViews>
  <sheetFormatPr defaultColWidth="9" defaultRowHeight="24" x14ac:dyDescent="0.55000000000000004"/>
  <cols>
    <col min="1" max="1" width="5.25" style="94" customWidth="1"/>
    <col min="2" max="2" width="22.75" style="98" customWidth="1"/>
    <col min="3" max="3" width="19.875" style="69" customWidth="1"/>
    <col min="4" max="6" width="4.375" style="93" customWidth="1"/>
    <col min="7" max="7" width="5.25" style="93" customWidth="1"/>
    <col min="8" max="8" width="4.375" style="93" customWidth="1"/>
    <col min="9" max="9" width="4" style="93" customWidth="1"/>
    <col min="10" max="10" width="21.875" style="69" customWidth="1"/>
    <col min="11" max="11" width="16.375" style="69" customWidth="1"/>
    <col min="12" max="12" width="10" style="69" customWidth="1"/>
    <col min="13" max="13" width="3.75" style="69" customWidth="1"/>
    <col min="14" max="14" width="3.875" style="69" customWidth="1"/>
    <col min="15" max="15" width="4.25" style="69" customWidth="1"/>
    <col min="16" max="16384" width="9" style="69"/>
  </cols>
  <sheetData>
    <row r="1" spans="1:15" s="67" customFormat="1" x14ac:dyDescent="0.55000000000000004">
      <c r="A1" s="66" t="s">
        <v>72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5" x14ac:dyDescent="0.55000000000000004">
      <c r="A2" s="68" t="s">
        <v>73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1:15" ht="24" customHeight="1" x14ac:dyDescent="0.55000000000000004">
      <c r="A3" s="70" t="s">
        <v>2</v>
      </c>
      <c r="B3" s="70" t="s">
        <v>74</v>
      </c>
      <c r="C3" s="71" t="s">
        <v>75</v>
      </c>
      <c r="D3" s="72" t="s">
        <v>76</v>
      </c>
      <c r="E3" s="73"/>
      <c r="F3" s="73"/>
      <c r="G3" s="73"/>
      <c r="H3" s="73"/>
      <c r="I3" s="74"/>
      <c r="J3" s="71" t="s">
        <v>77</v>
      </c>
      <c r="K3" s="71" t="s">
        <v>78</v>
      </c>
      <c r="L3" s="71" t="s">
        <v>79</v>
      </c>
      <c r="M3" s="75" t="s">
        <v>80</v>
      </c>
      <c r="N3" s="75" t="s">
        <v>81</v>
      </c>
      <c r="O3" s="75" t="s">
        <v>15</v>
      </c>
    </row>
    <row r="4" spans="1:15" ht="125.25" customHeight="1" x14ac:dyDescent="0.55000000000000004">
      <c r="A4" s="71"/>
      <c r="B4" s="70"/>
      <c r="C4" s="71"/>
      <c r="D4" s="76" t="s">
        <v>82</v>
      </c>
      <c r="E4" s="76" t="s">
        <v>83</v>
      </c>
      <c r="F4" s="76" t="s">
        <v>84</v>
      </c>
      <c r="G4" s="76" t="s">
        <v>85</v>
      </c>
      <c r="H4" s="76" t="s">
        <v>86</v>
      </c>
      <c r="I4" s="76" t="s">
        <v>87</v>
      </c>
      <c r="J4" s="71"/>
      <c r="K4" s="71"/>
      <c r="L4" s="71"/>
      <c r="M4" s="75"/>
      <c r="N4" s="75"/>
      <c r="O4" s="75"/>
    </row>
    <row r="5" spans="1:15" ht="152.25" customHeight="1" x14ac:dyDescent="0.55000000000000004">
      <c r="A5" s="77">
        <v>1</v>
      </c>
      <c r="B5" s="78" t="s">
        <v>88</v>
      </c>
      <c r="C5" s="78" t="s">
        <v>89</v>
      </c>
      <c r="D5" s="79"/>
      <c r="E5" s="80"/>
      <c r="F5" s="80"/>
      <c r="G5" s="79" t="s">
        <v>90</v>
      </c>
      <c r="H5" s="80"/>
      <c r="I5" s="80"/>
      <c r="J5" s="77" t="s">
        <v>91</v>
      </c>
      <c r="K5" s="78" t="s">
        <v>92</v>
      </c>
      <c r="L5" s="81">
        <v>244386</v>
      </c>
      <c r="M5" s="82"/>
      <c r="N5" s="82"/>
      <c r="O5" s="82"/>
    </row>
    <row r="6" spans="1:15" ht="152.25" customHeight="1" x14ac:dyDescent="0.55000000000000004">
      <c r="A6" s="77">
        <v>2</v>
      </c>
      <c r="B6" s="78" t="s">
        <v>88</v>
      </c>
      <c r="C6" s="78" t="s">
        <v>89</v>
      </c>
      <c r="D6" s="79"/>
      <c r="E6" s="80"/>
      <c r="F6" s="80"/>
      <c r="G6" s="79" t="s">
        <v>90</v>
      </c>
      <c r="H6" s="80"/>
      <c r="I6" s="80"/>
      <c r="J6" s="77" t="s">
        <v>91</v>
      </c>
      <c r="K6" s="78" t="s">
        <v>92</v>
      </c>
      <c r="L6" s="81">
        <v>244404</v>
      </c>
      <c r="M6" s="82"/>
      <c r="N6" s="82"/>
      <c r="O6" s="82"/>
    </row>
    <row r="7" spans="1:15" s="88" customFormat="1" ht="120" x14ac:dyDescent="0.55000000000000004">
      <c r="A7" s="83">
        <v>3</v>
      </c>
      <c r="B7" s="84" t="s">
        <v>93</v>
      </c>
      <c r="C7" s="84" t="s">
        <v>89</v>
      </c>
      <c r="D7" s="85"/>
      <c r="E7" s="85"/>
      <c r="F7" s="85"/>
      <c r="G7" s="79" t="s">
        <v>90</v>
      </c>
      <c r="H7" s="85"/>
      <c r="I7" s="85"/>
      <c r="J7" s="77" t="s">
        <v>91</v>
      </c>
      <c r="K7" s="84" t="s">
        <v>94</v>
      </c>
      <c r="L7" s="86">
        <v>25236</v>
      </c>
      <c r="M7" s="87"/>
      <c r="N7" s="87"/>
      <c r="O7" s="87"/>
    </row>
    <row r="8" spans="1:15" s="88" customFormat="1" ht="120" x14ac:dyDescent="0.55000000000000004">
      <c r="A8" s="83">
        <v>4</v>
      </c>
      <c r="B8" s="84" t="s">
        <v>93</v>
      </c>
      <c r="C8" s="84" t="s">
        <v>89</v>
      </c>
      <c r="D8" s="85"/>
      <c r="E8" s="85"/>
      <c r="F8" s="85"/>
      <c r="G8" s="79" t="s">
        <v>90</v>
      </c>
      <c r="H8" s="85"/>
      <c r="I8" s="85"/>
      <c r="J8" s="77" t="s">
        <v>91</v>
      </c>
      <c r="K8" s="84" t="s">
        <v>94</v>
      </c>
      <c r="L8" s="86">
        <v>25238</v>
      </c>
      <c r="M8" s="87"/>
      <c r="N8" s="87"/>
      <c r="O8" s="87"/>
    </row>
    <row r="9" spans="1:15" s="88" customFormat="1" ht="120" x14ac:dyDescent="0.55000000000000004">
      <c r="A9" s="77">
        <v>5</v>
      </c>
      <c r="B9" s="84" t="s">
        <v>93</v>
      </c>
      <c r="C9" s="84" t="s">
        <v>89</v>
      </c>
      <c r="D9" s="85"/>
      <c r="E9" s="85"/>
      <c r="F9" s="85"/>
      <c r="G9" s="79" t="s">
        <v>90</v>
      </c>
      <c r="H9" s="85"/>
      <c r="I9" s="85"/>
      <c r="J9" s="77" t="s">
        <v>91</v>
      </c>
      <c r="K9" s="84" t="s">
        <v>94</v>
      </c>
      <c r="L9" s="86">
        <v>25239</v>
      </c>
      <c r="M9" s="87"/>
      <c r="N9" s="87"/>
      <c r="O9" s="87"/>
    </row>
    <row r="10" spans="1:15" s="88" customFormat="1" ht="120" x14ac:dyDescent="0.55000000000000004">
      <c r="A10" s="83">
        <v>6</v>
      </c>
      <c r="B10" s="84" t="s">
        <v>93</v>
      </c>
      <c r="C10" s="84" t="s">
        <v>89</v>
      </c>
      <c r="D10" s="85"/>
      <c r="E10" s="85"/>
      <c r="F10" s="85"/>
      <c r="G10" s="79" t="s">
        <v>90</v>
      </c>
      <c r="H10" s="85"/>
      <c r="I10" s="85"/>
      <c r="J10" s="77" t="s">
        <v>91</v>
      </c>
      <c r="K10" s="84" t="s">
        <v>94</v>
      </c>
      <c r="L10" s="86">
        <v>25237</v>
      </c>
      <c r="M10" s="87"/>
      <c r="N10" s="87"/>
      <c r="O10" s="87"/>
    </row>
    <row r="11" spans="1:15" s="88" customFormat="1" ht="120" x14ac:dyDescent="0.55000000000000004">
      <c r="A11" s="83">
        <v>7</v>
      </c>
      <c r="B11" s="84" t="s">
        <v>93</v>
      </c>
      <c r="C11" s="84" t="s">
        <v>89</v>
      </c>
      <c r="D11" s="85"/>
      <c r="E11" s="85"/>
      <c r="F11" s="85"/>
      <c r="G11" s="79" t="s">
        <v>90</v>
      </c>
      <c r="H11" s="85"/>
      <c r="I11" s="85"/>
      <c r="J11" s="77" t="s">
        <v>91</v>
      </c>
      <c r="K11" s="84" t="s">
        <v>94</v>
      </c>
      <c r="L11" s="86">
        <v>25241</v>
      </c>
      <c r="M11" s="87"/>
      <c r="N11" s="87"/>
      <c r="O11" s="87"/>
    </row>
    <row r="12" spans="1:15" ht="123" customHeight="1" x14ac:dyDescent="0.55000000000000004">
      <c r="A12" s="77">
        <v>8</v>
      </c>
      <c r="B12" s="78" t="s">
        <v>95</v>
      </c>
      <c r="C12" s="78" t="s">
        <v>69</v>
      </c>
      <c r="D12" s="79" t="s">
        <v>90</v>
      </c>
      <c r="E12" s="80"/>
      <c r="F12" s="80"/>
      <c r="G12" s="79"/>
      <c r="H12" s="80"/>
      <c r="I12" s="80"/>
      <c r="J12" s="89" t="s">
        <v>39</v>
      </c>
      <c r="K12" s="78" t="s">
        <v>40</v>
      </c>
      <c r="L12" s="81">
        <v>244406</v>
      </c>
      <c r="M12" s="82"/>
      <c r="N12" s="82"/>
      <c r="O12" s="82"/>
    </row>
    <row r="13" spans="1:15" ht="126" customHeight="1" x14ac:dyDescent="0.55000000000000004">
      <c r="A13" s="83">
        <v>9</v>
      </c>
      <c r="B13" s="78" t="s">
        <v>96</v>
      </c>
      <c r="C13" s="78" t="s">
        <v>97</v>
      </c>
      <c r="D13" s="79"/>
      <c r="E13" s="80"/>
      <c r="F13" s="79" t="s">
        <v>90</v>
      </c>
      <c r="G13" s="79"/>
      <c r="H13" s="80"/>
      <c r="I13" s="80"/>
      <c r="J13" s="77" t="s">
        <v>98</v>
      </c>
      <c r="K13" s="78" t="s">
        <v>40</v>
      </c>
      <c r="L13" s="81">
        <v>244400</v>
      </c>
      <c r="M13" s="82"/>
      <c r="N13" s="82"/>
      <c r="O13" s="82"/>
    </row>
    <row r="14" spans="1:15" ht="148.5" customHeight="1" x14ac:dyDescent="0.55000000000000004">
      <c r="A14" s="83">
        <v>10</v>
      </c>
      <c r="B14" s="78" t="s">
        <v>99</v>
      </c>
      <c r="C14" s="78" t="s">
        <v>69</v>
      </c>
      <c r="D14" s="79" t="s">
        <v>90</v>
      </c>
      <c r="E14" s="79"/>
      <c r="F14" s="80"/>
      <c r="G14" s="79"/>
      <c r="H14" s="80"/>
      <c r="I14" s="80"/>
      <c r="J14" s="77" t="s">
        <v>100</v>
      </c>
      <c r="K14" s="78" t="s">
        <v>40</v>
      </c>
      <c r="L14" s="81">
        <v>244405</v>
      </c>
      <c r="M14" s="82"/>
      <c r="N14" s="82"/>
      <c r="O14" s="82"/>
    </row>
    <row r="15" spans="1:15" ht="54" customHeight="1" x14ac:dyDescent="0.55000000000000004">
      <c r="A15" s="77">
        <v>11</v>
      </c>
      <c r="B15" s="78" t="s">
        <v>101</v>
      </c>
      <c r="C15" s="78" t="s">
        <v>102</v>
      </c>
      <c r="D15" s="79"/>
      <c r="E15" s="79"/>
      <c r="F15" s="80"/>
      <c r="G15" s="79" t="s">
        <v>90</v>
      </c>
      <c r="H15" s="80"/>
      <c r="I15" s="80"/>
      <c r="J15" s="77" t="s">
        <v>103</v>
      </c>
      <c r="K15" s="78" t="s">
        <v>40</v>
      </c>
      <c r="L15" s="81">
        <v>244405</v>
      </c>
      <c r="M15" s="82"/>
      <c r="N15" s="82"/>
      <c r="O15" s="82"/>
    </row>
    <row r="16" spans="1:15" ht="51" customHeight="1" x14ac:dyDescent="0.55000000000000004">
      <c r="A16" s="83">
        <v>12</v>
      </c>
      <c r="B16" s="78" t="s">
        <v>101</v>
      </c>
      <c r="C16" s="78" t="s">
        <v>104</v>
      </c>
      <c r="D16" s="79"/>
      <c r="E16" s="79"/>
      <c r="F16" s="80"/>
      <c r="G16" s="79" t="s">
        <v>90</v>
      </c>
      <c r="H16" s="80"/>
      <c r="I16" s="80"/>
      <c r="J16" s="77" t="s">
        <v>105</v>
      </c>
      <c r="K16" s="78" t="s">
        <v>40</v>
      </c>
      <c r="L16" s="81">
        <v>244382</v>
      </c>
      <c r="M16" s="82"/>
      <c r="N16" s="82"/>
      <c r="O16" s="82"/>
    </row>
    <row r="17" spans="1:15" ht="92.25" customHeight="1" x14ac:dyDescent="0.55000000000000004">
      <c r="A17" s="83">
        <v>13</v>
      </c>
      <c r="B17" s="78" t="s">
        <v>106</v>
      </c>
      <c r="C17" s="78" t="s">
        <v>107</v>
      </c>
      <c r="D17" s="79"/>
      <c r="E17" s="79"/>
      <c r="F17" s="80"/>
      <c r="G17" s="79" t="s">
        <v>90</v>
      </c>
      <c r="H17" s="80"/>
      <c r="I17" s="80"/>
      <c r="J17" s="77" t="s">
        <v>103</v>
      </c>
      <c r="K17" s="78" t="s">
        <v>40</v>
      </c>
      <c r="L17" s="81">
        <v>244384</v>
      </c>
      <c r="M17" s="82"/>
      <c r="N17" s="82"/>
      <c r="O17" s="82"/>
    </row>
    <row r="18" spans="1:15" ht="51" customHeight="1" x14ac:dyDescent="0.55000000000000004">
      <c r="A18" s="77">
        <v>14</v>
      </c>
      <c r="B18" s="78" t="s">
        <v>101</v>
      </c>
      <c r="C18" s="78" t="s">
        <v>108</v>
      </c>
      <c r="D18" s="79"/>
      <c r="E18" s="79"/>
      <c r="F18" s="80"/>
      <c r="G18" s="79" t="s">
        <v>90</v>
      </c>
      <c r="H18" s="80"/>
      <c r="I18" s="80"/>
      <c r="J18" s="77" t="s">
        <v>103</v>
      </c>
      <c r="K18" s="78" t="s">
        <v>40</v>
      </c>
      <c r="L18" s="81">
        <v>244385</v>
      </c>
      <c r="M18" s="82"/>
      <c r="N18" s="82"/>
      <c r="O18" s="82"/>
    </row>
    <row r="19" spans="1:15" ht="51" customHeight="1" x14ac:dyDescent="0.55000000000000004">
      <c r="A19" s="83">
        <v>15</v>
      </c>
      <c r="B19" s="78" t="s">
        <v>101</v>
      </c>
      <c r="C19" s="78" t="s">
        <v>109</v>
      </c>
      <c r="D19" s="79"/>
      <c r="E19" s="79"/>
      <c r="F19" s="80"/>
      <c r="G19" s="79" t="s">
        <v>90</v>
      </c>
      <c r="H19" s="80"/>
      <c r="I19" s="80"/>
      <c r="J19" s="77" t="s">
        <v>103</v>
      </c>
      <c r="K19" s="78" t="s">
        <v>40</v>
      </c>
      <c r="L19" s="81">
        <v>244386</v>
      </c>
      <c r="M19" s="82"/>
      <c r="N19" s="82"/>
      <c r="O19" s="82"/>
    </row>
    <row r="20" spans="1:15" ht="51" customHeight="1" x14ac:dyDescent="0.55000000000000004">
      <c r="A20" s="83">
        <v>16</v>
      </c>
      <c r="B20" s="78" t="s">
        <v>101</v>
      </c>
      <c r="C20" s="78" t="s">
        <v>109</v>
      </c>
      <c r="D20" s="79"/>
      <c r="E20" s="79"/>
      <c r="F20" s="80"/>
      <c r="G20" s="79" t="s">
        <v>90</v>
      </c>
      <c r="H20" s="80"/>
      <c r="I20" s="80"/>
      <c r="J20" s="77" t="s">
        <v>103</v>
      </c>
      <c r="K20" s="78" t="s">
        <v>40</v>
      </c>
      <c r="L20" s="81">
        <v>244386</v>
      </c>
      <c r="M20" s="82"/>
      <c r="N20" s="82"/>
      <c r="O20" s="82"/>
    </row>
    <row r="21" spans="1:15" ht="51" customHeight="1" x14ac:dyDescent="0.55000000000000004">
      <c r="A21" s="77">
        <v>17</v>
      </c>
      <c r="B21" s="78" t="s">
        <v>101</v>
      </c>
      <c r="C21" s="78" t="s">
        <v>108</v>
      </c>
      <c r="D21" s="79"/>
      <c r="E21" s="79"/>
      <c r="F21" s="80"/>
      <c r="G21" s="79" t="s">
        <v>90</v>
      </c>
      <c r="H21" s="80"/>
      <c r="I21" s="80"/>
      <c r="J21" s="77" t="s">
        <v>103</v>
      </c>
      <c r="K21" s="78" t="s">
        <v>40</v>
      </c>
      <c r="L21" s="81">
        <v>244389</v>
      </c>
      <c r="M21" s="82"/>
      <c r="N21" s="82"/>
      <c r="O21" s="82"/>
    </row>
    <row r="22" spans="1:15" ht="51" customHeight="1" x14ac:dyDescent="0.55000000000000004">
      <c r="A22" s="83">
        <v>18</v>
      </c>
      <c r="B22" s="78" t="s">
        <v>101</v>
      </c>
      <c r="C22" s="78" t="s">
        <v>109</v>
      </c>
      <c r="D22" s="79"/>
      <c r="E22" s="79"/>
      <c r="F22" s="80"/>
      <c r="G22" s="79" t="s">
        <v>90</v>
      </c>
      <c r="H22" s="80"/>
      <c r="I22" s="80"/>
      <c r="J22" s="77" t="s">
        <v>103</v>
      </c>
      <c r="K22" s="78" t="s">
        <v>40</v>
      </c>
      <c r="L22" s="81">
        <v>244392</v>
      </c>
      <c r="M22" s="82"/>
      <c r="N22" s="82"/>
      <c r="O22" s="82"/>
    </row>
    <row r="23" spans="1:15" ht="77.25" customHeight="1" x14ac:dyDescent="0.55000000000000004">
      <c r="A23" s="83">
        <v>19</v>
      </c>
      <c r="B23" s="78" t="s">
        <v>110</v>
      </c>
      <c r="C23" s="78" t="s">
        <v>111</v>
      </c>
      <c r="D23" s="79" t="s">
        <v>90</v>
      </c>
      <c r="E23" s="79"/>
      <c r="F23" s="80"/>
      <c r="G23" s="79"/>
      <c r="H23" s="80"/>
      <c r="I23" s="80"/>
      <c r="J23" s="77" t="s">
        <v>112</v>
      </c>
      <c r="K23" s="78" t="s">
        <v>113</v>
      </c>
      <c r="L23" s="81">
        <v>244381</v>
      </c>
      <c r="M23" s="82"/>
      <c r="N23" s="82"/>
      <c r="O23" s="82"/>
    </row>
    <row r="24" spans="1:15" ht="97.5" customHeight="1" x14ac:dyDescent="0.55000000000000004">
      <c r="A24" s="77">
        <v>20</v>
      </c>
      <c r="B24" s="90" t="s">
        <v>114</v>
      </c>
      <c r="C24" s="78" t="s">
        <v>115</v>
      </c>
      <c r="D24" s="80"/>
      <c r="E24" s="79" t="s">
        <v>90</v>
      </c>
      <c r="F24" s="80"/>
      <c r="G24" s="79"/>
      <c r="H24" s="80"/>
      <c r="I24" s="80"/>
      <c r="J24" s="77" t="s">
        <v>116</v>
      </c>
      <c r="K24" s="78" t="s">
        <v>117</v>
      </c>
      <c r="L24" s="81">
        <v>244384</v>
      </c>
      <c r="M24" s="82"/>
      <c r="N24" s="82"/>
      <c r="O24" s="82"/>
    </row>
    <row r="25" spans="1:15" ht="93" customHeight="1" x14ac:dyDescent="0.55000000000000004">
      <c r="A25" s="83">
        <v>21</v>
      </c>
      <c r="B25" s="78" t="s">
        <v>118</v>
      </c>
      <c r="C25" s="78" t="s">
        <v>119</v>
      </c>
      <c r="D25" s="80"/>
      <c r="E25" s="79"/>
      <c r="F25" s="80"/>
      <c r="G25" s="79" t="s">
        <v>90</v>
      </c>
      <c r="H25" s="80"/>
      <c r="I25" s="80"/>
      <c r="J25" s="77" t="s">
        <v>120</v>
      </c>
      <c r="K25" s="78" t="s">
        <v>117</v>
      </c>
      <c r="L25" s="81">
        <v>25253</v>
      </c>
      <c r="M25" s="82"/>
      <c r="N25" s="82"/>
      <c r="O25" s="82"/>
    </row>
    <row r="26" spans="1:15" ht="123.75" customHeight="1" x14ac:dyDescent="0.55000000000000004">
      <c r="A26" s="83">
        <v>22</v>
      </c>
      <c r="B26" s="78" t="s">
        <v>121</v>
      </c>
      <c r="C26" s="78" t="s">
        <v>122</v>
      </c>
      <c r="D26" s="80"/>
      <c r="E26" s="79"/>
      <c r="F26" s="80"/>
      <c r="G26" s="79" t="s">
        <v>90</v>
      </c>
      <c r="H26" s="80"/>
      <c r="I26" s="80"/>
      <c r="J26" s="77" t="s">
        <v>120</v>
      </c>
      <c r="K26" s="78" t="s">
        <v>117</v>
      </c>
      <c r="L26" s="81">
        <v>25262</v>
      </c>
      <c r="M26" s="82"/>
      <c r="N26" s="82"/>
      <c r="O26" s="82"/>
    </row>
    <row r="27" spans="1:15" ht="72" x14ac:dyDescent="0.55000000000000004">
      <c r="A27" s="77">
        <v>23</v>
      </c>
      <c r="B27" s="78" t="s">
        <v>123</v>
      </c>
      <c r="C27" s="78" t="s">
        <v>124</v>
      </c>
      <c r="D27" s="80"/>
      <c r="E27" s="80"/>
      <c r="F27" s="80"/>
      <c r="G27" s="79" t="s">
        <v>90</v>
      </c>
      <c r="H27" s="80"/>
      <c r="I27" s="80"/>
      <c r="J27" s="77" t="s">
        <v>125</v>
      </c>
      <c r="K27" s="91" t="s">
        <v>126</v>
      </c>
      <c r="L27" s="81">
        <v>244389</v>
      </c>
      <c r="M27" s="82"/>
      <c r="N27" s="82"/>
      <c r="O27" s="82"/>
    </row>
    <row r="28" spans="1:15" ht="91.5" customHeight="1" x14ac:dyDescent="0.55000000000000004">
      <c r="A28" s="83">
        <v>24</v>
      </c>
      <c r="B28" s="78" t="s">
        <v>110</v>
      </c>
      <c r="C28" s="78" t="s">
        <v>111</v>
      </c>
      <c r="D28" s="79" t="s">
        <v>90</v>
      </c>
      <c r="E28" s="80"/>
      <c r="F28" s="80"/>
      <c r="G28" s="80"/>
      <c r="H28" s="80"/>
      <c r="I28" s="80"/>
      <c r="J28" s="77" t="s">
        <v>112</v>
      </c>
      <c r="K28" s="78" t="s">
        <v>113</v>
      </c>
      <c r="L28" s="81">
        <v>244381</v>
      </c>
      <c r="M28" s="82"/>
      <c r="N28" s="82"/>
      <c r="O28" s="82"/>
    </row>
    <row r="29" spans="1:15" ht="48" x14ac:dyDescent="0.55000000000000004">
      <c r="A29" s="83">
        <v>25</v>
      </c>
      <c r="B29" s="78" t="s">
        <v>101</v>
      </c>
      <c r="C29" s="78" t="s">
        <v>127</v>
      </c>
      <c r="D29" s="79"/>
      <c r="E29" s="80"/>
      <c r="F29" s="80"/>
      <c r="G29" s="79" t="s">
        <v>90</v>
      </c>
      <c r="H29" s="80"/>
      <c r="I29" s="80"/>
      <c r="J29" s="77" t="s">
        <v>128</v>
      </c>
      <c r="K29" s="78" t="s">
        <v>113</v>
      </c>
      <c r="L29" s="92">
        <v>25239</v>
      </c>
      <c r="M29" s="82"/>
      <c r="N29" s="82"/>
      <c r="O29" s="82"/>
    </row>
    <row r="30" spans="1:15" ht="48" x14ac:dyDescent="0.55000000000000004">
      <c r="A30" s="77">
        <v>26</v>
      </c>
      <c r="B30" s="78" t="s">
        <v>101</v>
      </c>
      <c r="C30" s="78" t="s">
        <v>129</v>
      </c>
      <c r="D30" s="79"/>
      <c r="E30" s="80"/>
      <c r="F30" s="80"/>
      <c r="G30" s="79" t="s">
        <v>90</v>
      </c>
      <c r="H30" s="80"/>
      <c r="I30" s="80"/>
      <c r="J30" s="77" t="s">
        <v>130</v>
      </c>
      <c r="K30" s="78" t="s">
        <v>113</v>
      </c>
      <c r="L30" s="92">
        <v>25239</v>
      </c>
      <c r="M30" s="82"/>
      <c r="N30" s="82"/>
      <c r="O30" s="82"/>
    </row>
    <row r="31" spans="1:15" ht="123" customHeight="1" x14ac:dyDescent="0.55000000000000004">
      <c r="A31" s="83">
        <v>27</v>
      </c>
      <c r="B31" s="78" t="s">
        <v>131</v>
      </c>
      <c r="C31" s="78" t="s">
        <v>132</v>
      </c>
      <c r="D31" s="80"/>
      <c r="E31" s="79" t="s">
        <v>90</v>
      </c>
      <c r="F31" s="80"/>
      <c r="G31" s="79"/>
      <c r="H31" s="80"/>
      <c r="I31" s="80"/>
      <c r="J31" s="77" t="s">
        <v>133</v>
      </c>
      <c r="K31" s="78" t="s">
        <v>134</v>
      </c>
      <c r="L31" s="81">
        <v>244383</v>
      </c>
      <c r="M31" s="82"/>
      <c r="N31" s="82"/>
      <c r="O31" s="82"/>
    </row>
    <row r="32" spans="1:15" ht="126.75" customHeight="1" x14ac:dyDescent="0.55000000000000004">
      <c r="A32" s="83">
        <v>28</v>
      </c>
      <c r="B32" s="78" t="s">
        <v>101</v>
      </c>
      <c r="C32" s="78" t="s">
        <v>135</v>
      </c>
      <c r="D32" s="80"/>
      <c r="F32" s="80"/>
      <c r="G32" s="79" t="s">
        <v>90</v>
      </c>
      <c r="H32" s="80"/>
      <c r="I32" s="80"/>
      <c r="J32" s="77" t="s">
        <v>133</v>
      </c>
      <c r="K32" s="78" t="s">
        <v>134</v>
      </c>
      <c r="L32" s="81">
        <v>25245</v>
      </c>
      <c r="M32" s="82"/>
      <c r="N32" s="82"/>
      <c r="O32" s="82"/>
    </row>
    <row r="33" spans="1:15" ht="72" x14ac:dyDescent="0.55000000000000004">
      <c r="A33" s="77">
        <v>29</v>
      </c>
      <c r="B33" s="78" t="s">
        <v>136</v>
      </c>
      <c r="C33" s="78" t="s">
        <v>137</v>
      </c>
      <c r="D33" s="79"/>
      <c r="E33" s="80"/>
      <c r="F33" s="80"/>
      <c r="G33" s="79" t="s">
        <v>90</v>
      </c>
      <c r="H33" s="80"/>
      <c r="I33" s="80"/>
      <c r="J33" s="77" t="s">
        <v>133</v>
      </c>
      <c r="K33" s="78" t="s">
        <v>134</v>
      </c>
      <c r="L33" s="81">
        <v>244389</v>
      </c>
      <c r="M33" s="82"/>
      <c r="N33" s="82"/>
      <c r="O33" s="82"/>
    </row>
    <row r="34" spans="1:15" ht="96" x14ac:dyDescent="0.55000000000000004">
      <c r="A34" s="83">
        <v>30</v>
      </c>
      <c r="B34" s="78" t="s">
        <v>138</v>
      </c>
      <c r="C34" s="78" t="s">
        <v>139</v>
      </c>
      <c r="D34" s="79" t="s">
        <v>90</v>
      </c>
      <c r="E34" s="80"/>
      <c r="F34" s="80"/>
      <c r="G34" s="79"/>
      <c r="H34" s="80"/>
      <c r="I34" s="80"/>
      <c r="J34" s="77" t="s">
        <v>140</v>
      </c>
      <c r="K34" s="78" t="s">
        <v>141</v>
      </c>
      <c r="L34" s="81">
        <v>25253</v>
      </c>
      <c r="M34" s="82"/>
      <c r="N34" s="82"/>
      <c r="O34" s="82"/>
    </row>
    <row r="35" spans="1:15" ht="72" x14ac:dyDescent="0.55000000000000004">
      <c r="A35" s="83">
        <v>31</v>
      </c>
      <c r="B35" s="78" t="s">
        <v>142</v>
      </c>
      <c r="C35" s="77" t="s">
        <v>143</v>
      </c>
      <c r="D35" s="80"/>
      <c r="E35" s="79" t="s">
        <v>90</v>
      </c>
      <c r="F35" s="80"/>
      <c r="G35" s="79"/>
      <c r="H35" s="80"/>
      <c r="I35" s="80"/>
      <c r="J35" s="78" t="s">
        <v>144</v>
      </c>
      <c r="K35" s="91" t="s">
        <v>126</v>
      </c>
      <c r="L35" s="81" t="s">
        <v>145</v>
      </c>
      <c r="M35" s="82"/>
      <c r="N35" s="77">
        <v>150</v>
      </c>
      <c r="O35" s="82"/>
    </row>
    <row r="36" spans="1:15" ht="72" x14ac:dyDescent="0.55000000000000004">
      <c r="A36" s="77">
        <v>32</v>
      </c>
      <c r="B36" s="78" t="s">
        <v>146</v>
      </c>
      <c r="C36" s="78" t="s">
        <v>147</v>
      </c>
      <c r="D36" s="79"/>
      <c r="E36" s="80"/>
      <c r="F36" s="80"/>
      <c r="G36" s="80"/>
      <c r="H36" s="80"/>
      <c r="I36" s="79" t="s">
        <v>90</v>
      </c>
      <c r="J36" s="78" t="s">
        <v>148</v>
      </c>
      <c r="K36" s="91" t="s">
        <v>126</v>
      </c>
      <c r="L36" s="81">
        <v>244383</v>
      </c>
      <c r="M36" s="82"/>
      <c r="N36" s="77">
        <v>40</v>
      </c>
      <c r="O36" s="82"/>
    </row>
    <row r="37" spans="1:15" ht="96" x14ac:dyDescent="0.55000000000000004">
      <c r="A37" s="83">
        <v>33</v>
      </c>
      <c r="B37" s="78" t="s">
        <v>149</v>
      </c>
      <c r="C37" s="78" t="s">
        <v>150</v>
      </c>
      <c r="D37" s="80"/>
      <c r="E37" s="79" t="s">
        <v>90</v>
      </c>
      <c r="F37" s="80"/>
      <c r="G37" s="79"/>
      <c r="H37" s="80"/>
      <c r="I37" s="80"/>
      <c r="J37" s="77" t="s">
        <v>151</v>
      </c>
      <c r="K37" s="91" t="s">
        <v>126</v>
      </c>
      <c r="L37" s="81">
        <v>244389</v>
      </c>
      <c r="M37" s="82"/>
      <c r="N37" s="77">
        <v>20</v>
      </c>
      <c r="O37" s="82"/>
    </row>
    <row r="38" spans="1:15" ht="120" x14ac:dyDescent="0.55000000000000004">
      <c r="A38" s="83">
        <v>34</v>
      </c>
      <c r="B38" s="78" t="s">
        <v>152</v>
      </c>
      <c r="C38" s="78" t="s">
        <v>153</v>
      </c>
      <c r="D38" s="80"/>
      <c r="E38" s="79"/>
      <c r="F38" s="80"/>
      <c r="G38" s="79"/>
      <c r="H38" s="80"/>
      <c r="I38" s="79" t="s">
        <v>90</v>
      </c>
      <c r="J38" s="78" t="s">
        <v>154</v>
      </c>
      <c r="K38" s="91" t="s">
        <v>126</v>
      </c>
      <c r="L38" s="81">
        <v>244390</v>
      </c>
      <c r="M38" s="82"/>
      <c r="N38" s="77">
        <v>3</v>
      </c>
      <c r="O38" s="82"/>
    </row>
    <row r="39" spans="1:15" ht="284.25" customHeight="1" x14ac:dyDescent="0.55000000000000004">
      <c r="A39" s="77">
        <v>35</v>
      </c>
      <c r="B39" s="78" t="s">
        <v>155</v>
      </c>
      <c r="C39" s="78" t="s">
        <v>156</v>
      </c>
      <c r="D39" s="80"/>
      <c r="E39" s="80"/>
      <c r="F39" s="79"/>
      <c r="G39" s="80"/>
      <c r="H39" s="80"/>
      <c r="I39" s="79" t="s">
        <v>90</v>
      </c>
      <c r="J39" s="78" t="s">
        <v>157</v>
      </c>
      <c r="K39" s="91" t="s">
        <v>126</v>
      </c>
      <c r="L39" s="81">
        <v>244392</v>
      </c>
      <c r="M39" s="82"/>
      <c r="N39" s="77">
        <v>4</v>
      </c>
      <c r="O39" s="82"/>
    </row>
    <row r="40" spans="1:15" ht="79.5" customHeight="1" x14ac:dyDescent="0.55000000000000004">
      <c r="A40" s="83">
        <v>36</v>
      </c>
      <c r="B40" s="78" t="s">
        <v>158</v>
      </c>
      <c r="C40" s="78" t="s">
        <v>143</v>
      </c>
      <c r="D40" s="80"/>
      <c r="E40" s="79" t="s">
        <v>90</v>
      </c>
      <c r="F40" s="79"/>
      <c r="G40" s="80"/>
      <c r="H40" s="80"/>
      <c r="I40" s="80"/>
      <c r="J40" s="78" t="s">
        <v>159</v>
      </c>
      <c r="K40" s="91" t="s">
        <v>126</v>
      </c>
      <c r="L40" s="92" t="s">
        <v>160</v>
      </c>
      <c r="M40" s="82"/>
      <c r="N40" s="77">
        <v>40</v>
      </c>
      <c r="O40" s="82"/>
    </row>
    <row r="41" spans="1:15" ht="72" x14ac:dyDescent="0.55000000000000004">
      <c r="A41" s="83">
        <v>37</v>
      </c>
      <c r="B41" s="78" t="s">
        <v>161</v>
      </c>
      <c r="C41" s="77" t="s">
        <v>162</v>
      </c>
      <c r="D41" s="80"/>
      <c r="E41" s="79" t="s">
        <v>90</v>
      </c>
      <c r="F41" s="80"/>
      <c r="G41" s="79"/>
      <c r="H41" s="80"/>
      <c r="I41" s="80"/>
      <c r="J41" s="78" t="s">
        <v>163</v>
      </c>
      <c r="K41" s="91" t="s">
        <v>126</v>
      </c>
      <c r="L41" s="81">
        <v>244404</v>
      </c>
      <c r="M41" s="82"/>
      <c r="N41" s="82"/>
      <c r="O41" s="82"/>
    </row>
    <row r="42" spans="1:15" ht="120.75" customHeight="1" x14ac:dyDescent="0.55000000000000004">
      <c r="A42" s="77">
        <v>38</v>
      </c>
      <c r="B42" s="78" t="s">
        <v>164</v>
      </c>
      <c r="C42" s="78" t="s">
        <v>165</v>
      </c>
      <c r="D42" s="80"/>
      <c r="E42" s="80"/>
      <c r="F42" s="80"/>
      <c r="G42" s="79"/>
      <c r="H42" s="80"/>
      <c r="I42" s="79" t="s">
        <v>90</v>
      </c>
      <c r="J42" s="78" t="s">
        <v>166</v>
      </c>
      <c r="K42" s="91" t="s">
        <v>126</v>
      </c>
      <c r="L42" s="81">
        <v>244404</v>
      </c>
      <c r="M42" s="82"/>
      <c r="N42" s="77">
        <v>3</v>
      </c>
      <c r="O42" s="82"/>
    </row>
    <row r="43" spans="1:15" x14ac:dyDescent="0.55000000000000004">
      <c r="B43" s="95"/>
      <c r="C43" s="95"/>
      <c r="G43" s="96"/>
      <c r="J43" s="94"/>
      <c r="K43" s="95"/>
      <c r="L43" s="95"/>
    </row>
    <row r="44" spans="1:15" x14ac:dyDescent="0.55000000000000004">
      <c r="B44" s="95"/>
      <c r="C44" s="95"/>
      <c r="G44" s="96"/>
      <c r="J44" s="94"/>
      <c r="K44" s="95"/>
      <c r="L44" s="97"/>
    </row>
    <row r="45" spans="1:15" x14ac:dyDescent="0.55000000000000004">
      <c r="B45" s="95"/>
      <c r="C45" s="94"/>
      <c r="D45" s="96"/>
      <c r="J45" s="95"/>
      <c r="K45" s="95"/>
      <c r="L45" s="97"/>
      <c r="N45" s="94"/>
    </row>
    <row r="46" spans="1:15" ht="147" customHeight="1" x14ac:dyDescent="0.55000000000000004">
      <c r="B46" s="95"/>
      <c r="C46" s="95"/>
      <c r="I46" s="96"/>
      <c r="J46" s="95"/>
      <c r="K46" s="95"/>
      <c r="L46" s="97"/>
      <c r="N46" s="94"/>
    </row>
    <row r="47" spans="1:15" x14ac:dyDescent="0.55000000000000004">
      <c r="B47" s="95"/>
      <c r="C47" s="95"/>
      <c r="D47" s="96"/>
      <c r="J47" s="94"/>
      <c r="K47" s="95"/>
      <c r="L47" s="97"/>
      <c r="N47" s="94"/>
    </row>
    <row r="48" spans="1:15" x14ac:dyDescent="0.55000000000000004">
      <c r="B48" s="95"/>
      <c r="C48" s="95"/>
      <c r="D48" s="96"/>
      <c r="J48" s="95"/>
      <c r="K48" s="95"/>
      <c r="L48" s="97"/>
      <c r="N48" s="94"/>
    </row>
    <row r="49" spans="2:14" x14ac:dyDescent="0.55000000000000004">
      <c r="B49" s="95"/>
      <c r="C49" s="94"/>
      <c r="I49" s="96"/>
      <c r="J49" s="95"/>
      <c r="K49" s="95"/>
      <c r="L49" s="97"/>
      <c r="N49" s="94"/>
    </row>
    <row r="50" spans="2:14" x14ac:dyDescent="0.55000000000000004">
      <c r="B50" s="95"/>
      <c r="C50" s="94"/>
      <c r="I50" s="96"/>
      <c r="J50" s="95"/>
      <c r="K50" s="95"/>
      <c r="L50" s="97"/>
      <c r="N50" s="94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ageMargins left="0.19685039370078741" right="0" top="0.15748031496062992" bottom="0.35433070866141736" header="0.31496062992125984" footer="0.31496062992125984"/>
  <pageSetup scale="95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2-โครงการพัฒนาวิชาการ</vt:lpstr>
      <vt:lpstr>3-งานบริการวิชาการ</vt:lpstr>
      <vt:lpstr>'2-โครงการพัฒนาวิชาการ'!Print_Titles</vt:lpstr>
      <vt:lpstr>'3-งานบริการวิชาการ'!Print_Titles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ทศพร เอี่ยมสะอาด</dc:creator>
  <cp:lastModifiedBy>ทศพร เอี่ยมสะอาด</cp:lastModifiedBy>
  <dcterms:created xsi:type="dcterms:W3CDTF">2026-06-11T09:02:08Z</dcterms:created>
  <dcterms:modified xsi:type="dcterms:W3CDTF">2026-06-11T09:05:07Z</dcterms:modified>
</cp:coreProperties>
</file>
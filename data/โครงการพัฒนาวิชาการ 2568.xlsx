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6.สรุปงานบริการ(ทุกเดือน).E\ปี2568\"/>
    </mc:Choice>
  </mc:AlternateContent>
  <xr:revisionPtr revIDLastSave="0" documentId="13_ncr:1_{DCA717E4-86D1-4483-8E7C-B9C32B684B9B}" xr6:coauthVersionLast="47" xr6:coauthVersionMax="47" xr10:uidLastSave="{00000000-0000-0000-0000-000000000000}"/>
  <bookViews>
    <workbookView xWindow="390" yWindow="390" windowWidth="17805" windowHeight="15285" firstSheet="4" activeTab="10" xr2:uid="{00000000-000D-0000-FFFF-FFFF00000000}"/>
  </bookViews>
  <sheets>
    <sheet name="ม.ค.68" sheetId="12" r:id="rId1"/>
    <sheet name="ก.พ.68" sheetId="13" r:id="rId2"/>
    <sheet name="มี.ค.68 " sheetId="14" r:id="rId3"/>
    <sheet name="เม.ย.68" sheetId="15" r:id="rId4"/>
    <sheet name="พ.ค.68 " sheetId="16" r:id="rId5"/>
    <sheet name="มิ.ย.68" sheetId="17" r:id="rId6"/>
    <sheet name="ก.ค.68" sheetId="18" r:id="rId7"/>
    <sheet name="ส.ค.68" sheetId="19" r:id="rId8"/>
    <sheet name="ก.ย.68" sheetId="20" r:id="rId9"/>
    <sheet name="ต.ค.68" sheetId="21" r:id="rId10"/>
    <sheet name="พ.ย.68 " sheetId="22" r:id="rId11"/>
  </sheets>
  <definedNames>
    <definedName name="_xlnm.Print_Titles" localSheetId="9">'ต.ค.68'!$1:$5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22" l="1"/>
  <c r="L19" i="22" s="1"/>
  <c r="J18" i="22"/>
  <c r="K18" i="22" s="1"/>
  <c r="L18" i="22"/>
  <c r="M18" i="22"/>
  <c r="J17" i="22"/>
  <c r="K17" i="22"/>
  <c r="L17" i="22"/>
  <c r="M17" i="22"/>
  <c r="J16" i="22"/>
  <c r="K16" i="22" s="1"/>
  <c r="J15" i="22"/>
  <c r="L15" i="22" s="1"/>
  <c r="K15" i="22"/>
  <c r="J14" i="22"/>
  <c r="K14" i="22"/>
  <c r="L14" i="22"/>
  <c r="M14" i="22"/>
  <c r="J13" i="22"/>
  <c r="K13" i="22"/>
  <c r="L13" i="22"/>
  <c r="M13" i="22"/>
  <c r="J12" i="22"/>
  <c r="L12" i="22" s="1"/>
  <c r="J11" i="22"/>
  <c r="M11" i="22" s="1"/>
  <c r="J10" i="22"/>
  <c r="M10" i="22" s="1"/>
  <c r="J9" i="22"/>
  <c r="M9" i="22" s="1"/>
  <c r="J8" i="22"/>
  <c r="K8" i="22" s="1"/>
  <c r="L8" i="22"/>
  <c r="M8" i="22"/>
  <c r="J7" i="22"/>
  <c r="K7" i="22" s="1"/>
  <c r="J6" i="22"/>
  <c r="K6" i="22" s="1"/>
  <c r="J12" i="21"/>
  <c r="M12" i="21" s="1"/>
  <c r="J11" i="21"/>
  <c r="L11" i="21" s="1"/>
  <c r="J10" i="21"/>
  <c r="M10" i="21" s="1"/>
  <c r="J9" i="21"/>
  <c r="K9" i="21" s="1"/>
  <c r="J8" i="21"/>
  <c r="L8" i="21" s="1"/>
  <c r="J13" i="21"/>
  <c r="M13" i="21" s="1"/>
  <c r="J7" i="21"/>
  <c r="L7" i="21" s="1"/>
  <c r="K7" i="21"/>
  <c r="J9" i="20"/>
  <c r="K9" i="20" s="1"/>
  <c r="J10" i="20"/>
  <c r="M10" i="20" s="1"/>
  <c r="J6" i="21"/>
  <c r="K6" i="21" s="1"/>
  <c r="J8" i="20"/>
  <c r="L8" i="20" s="1"/>
  <c r="J7" i="20"/>
  <c r="M7" i="20" s="1"/>
  <c r="J6" i="20"/>
  <c r="M6" i="20" s="1"/>
  <c r="M6" i="18"/>
  <c r="L6" i="18"/>
  <c r="K6" i="18"/>
  <c r="J6" i="18"/>
  <c r="J7" i="18"/>
  <c r="M7" i="18" s="1"/>
  <c r="J8" i="18"/>
  <c r="M8" i="18" s="1"/>
  <c r="J9" i="18"/>
  <c r="M9" i="18" s="1"/>
  <c r="J8" i="17"/>
  <c r="L8" i="17" s="1"/>
  <c r="K8" i="17"/>
  <c r="J7" i="17"/>
  <c r="M7" i="17" s="1"/>
  <c r="J6" i="17"/>
  <c r="L6" i="17" s="1"/>
  <c r="J8" i="16"/>
  <c r="M8" i="16" s="1"/>
  <c r="J7" i="16"/>
  <c r="K7" i="16" s="1"/>
  <c r="J6" i="16"/>
  <c r="L6" i="16" s="1"/>
  <c r="J6" i="15"/>
  <c r="L6" i="15" s="1"/>
  <c r="J7" i="14"/>
  <c r="L7" i="14" s="1"/>
  <c r="K19" i="22" l="1"/>
  <c r="M19" i="22"/>
  <c r="M16" i="22"/>
  <c r="L16" i="22"/>
  <c r="M15" i="22"/>
  <c r="K12" i="22"/>
  <c r="M12" i="22"/>
  <c r="M7" i="21"/>
  <c r="K10" i="22"/>
  <c r="L10" i="22"/>
  <c r="L11" i="22"/>
  <c r="L7" i="22"/>
  <c r="K9" i="22"/>
  <c r="L9" i="22"/>
  <c r="K11" i="22"/>
  <c r="M7" i="22"/>
  <c r="L6" i="22"/>
  <c r="M6" i="22"/>
  <c r="K12" i="21"/>
  <c r="L12" i="21"/>
  <c r="L10" i="21"/>
  <c r="K10" i="21"/>
  <c r="K11" i="21"/>
  <c r="M11" i="21"/>
  <c r="M9" i="21"/>
  <c r="L9" i="21"/>
  <c r="M8" i="21"/>
  <c r="K8" i="21"/>
  <c r="L6" i="21"/>
  <c r="M6" i="21"/>
  <c r="L13" i="21"/>
  <c r="K13" i="21"/>
  <c r="L9" i="20"/>
  <c r="M9" i="20"/>
  <c r="K7" i="20"/>
  <c r="K10" i="20"/>
  <c r="L7" i="20"/>
  <c r="L10" i="20"/>
  <c r="M8" i="20"/>
  <c r="K8" i="20"/>
  <c r="K6" i="20"/>
  <c r="L6" i="20"/>
  <c r="K7" i="18"/>
  <c r="L7" i="18"/>
  <c r="L9" i="18"/>
  <c r="K8" i="18"/>
  <c r="L8" i="18"/>
  <c r="K9" i="18"/>
  <c r="L8" i="16"/>
  <c r="M8" i="17"/>
  <c r="K8" i="16"/>
  <c r="M6" i="17"/>
  <c r="K6" i="17"/>
  <c r="K7" i="17"/>
  <c r="L7" i="17"/>
  <c r="M7" i="16"/>
  <c r="L7" i="16"/>
  <c r="M6" i="16"/>
  <c r="K6" i="16"/>
  <c r="M6" i="15"/>
  <c r="K6" i="15"/>
  <c r="M7" i="14"/>
  <c r="K7" i="14"/>
  <c r="J6" i="14"/>
  <c r="M6" i="14" s="1"/>
  <c r="K6" i="14" l="1"/>
  <c r="L6" i="14"/>
  <c r="J10" i="13"/>
  <c r="M10" i="13" s="1"/>
  <c r="K10" i="13" l="1"/>
  <c r="L10" i="13"/>
  <c r="J9" i="13"/>
  <c r="M9" i="13" s="1"/>
  <c r="K9" i="13" l="1"/>
  <c r="L9" i="13"/>
  <c r="J8" i="13" l="1"/>
  <c r="K8" i="13" s="1"/>
  <c r="L8" i="13" l="1"/>
  <c r="M8" i="13"/>
  <c r="J6" i="13"/>
  <c r="L6" i="13" s="1"/>
  <c r="J7" i="13"/>
  <c r="L7" i="13" s="1"/>
  <c r="J11" i="12"/>
  <c r="K11" i="12" s="1"/>
  <c r="K6" i="13" l="1"/>
  <c r="M6" i="13"/>
  <c r="K7" i="13"/>
  <c r="M7" i="13"/>
  <c r="L11" i="12"/>
  <c r="M11" i="12"/>
  <c r="J10" i="12"/>
  <c r="M10" i="12" s="1"/>
  <c r="K10" i="12" l="1"/>
  <c r="L10" i="12"/>
  <c r="J12" i="12" l="1"/>
  <c r="L12" i="12" s="1"/>
  <c r="J6" i="12"/>
  <c r="L6" i="12" s="1"/>
  <c r="J9" i="12"/>
  <c r="K9" i="12" s="1"/>
  <c r="J8" i="12"/>
  <c r="K8" i="12"/>
  <c r="L8" i="12"/>
  <c r="M8" i="12"/>
  <c r="J7" i="12"/>
  <c r="M7" i="12" s="1"/>
  <c r="M6" i="12" l="1"/>
  <c r="K6" i="12"/>
  <c r="K7" i="12"/>
  <c r="L7" i="12"/>
  <c r="M12" i="12"/>
  <c r="K12" i="12"/>
  <c r="M9" i="12"/>
  <c r="L9" i="12"/>
</calcChain>
</file>

<file path=xl/sharedStrings.xml><?xml version="1.0" encoding="utf-8"?>
<sst xmlns="http://schemas.openxmlformats.org/spreadsheetml/2006/main" count="962" uniqueCount="221">
  <si>
    <t>ชื่อโครงการ</t>
  </si>
  <si>
    <t>ผู้ร่วมโครงการ</t>
  </si>
  <si>
    <t>ผู้ขอรับบริการ</t>
  </si>
  <si>
    <t>งบประมาณ</t>
  </si>
  <si>
    <t>ระยะเวลาดำเนินการ</t>
  </si>
  <si>
    <t>วันที่นำไปบูรณาการ</t>
  </si>
  <si>
    <t>สถานะโครงการ</t>
  </si>
  <si>
    <t>เริ่มต้น</t>
  </si>
  <si>
    <t>สิ้นสุด</t>
  </si>
  <si>
    <t>ลำดับ
ที่</t>
  </si>
  <si>
    <t>สรุปโครงการพัฒนาวิชาการ</t>
  </si>
  <si>
    <t>หน่วยงาน
ดำเนินการ</t>
  </si>
  <si>
    <t>การจัดสรร</t>
  </si>
  <si>
    <t>หัวหน้า
โครงการ</t>
  </si>
  <si>
    <t>ค่า
อำนวย
การ
15 %</t>
  </si>
  <si>
    <t>คณะ
5%</t>
  </si>
  <si>
    <t xml:space="preserve">ภาค
วิชา
5% </t>
  </si>
  <si>
    <t>มก.
5%</t>
  </si>
  <si>
    <t>หมายเหตุ</t>
  </si>
  <si>
    <t>โครงการวิจัย</t>
  </si>
  <si>
    <t>สิทธิบัตร/
อนุสิทธิบัตร</t>
  </si>
  <si>
    <t>บรูณาการการใช้ประโยชน์</t>
  </si>
  <si>
    <t>ภายใน</t>
  </si>
  <si>
    <t>ภายนอก</t>
  </si>
  <si>
    <t>ลักษณะโครงการ</t>
  </si>
  <si>
    <t>สอดคล้องกับนโยบายชาติ</t>
  </si>
  <si>
    <t>เพิ่มมูลค่า</t>
  </si>
  <si>
    <t>ครั้งแรก</t>
  </si>
  <si>
    <t>มากกว่า 1 ครั้ง</t>
  </si>
  <si>
    <t>ระเบียนโครงการ</t>
  </si>
  <si>
    <t>เดือนมกราคม 2568</t>
  </si>
  <si>
    <t>00391/68</t>
  </si>
  <si>
    <t>โครงการพัฒนาระบบสารสนเทศในการรวบรวมสำรวจและประเมินศักยภาพเอสเอ็มอี เพื่อใช้ในการพิจารณาสินเชื่อเบื้องต้น ปีงบประมาณ พ.ศ. 2568</t>
  </si>
  <si>
    <t>2207351
Computer Application</t>
  </si>
  <si>
    <t>สำนักงานปลัดกระทรวงอุตสาหกรรม</t>
  </si>
  <si>
    <t>-</t>
  </si>
  <si>
    <t>ภาควิชา
วิศวกรรมชลประทาน</t>
  </si>
  <si>
    <t>ผศ.ดร.ทรงศักดิ์ 
ภัทราวุฒิชัย</t>
  </si>
  <si>
    <t>ภาควิชา
วิศวกรรมคอมพิวเตอร์</t>
  </si>
  <si>
    <t>โครงการระบบการออกเอกสารในรูปแบบอิเล็กทรอนิกส์ของกรมโรงงานอุตสาหกรรม ระยะที่ ๓  (DIW Electronic Document Phase ๓ ) แขวงทุ่งพญาไท เขตราชเทวี กรุงเทพมหานคร ๑ ระบบ</t>
  </si>
  <si>
    <t>ผศ.ดร.จักกริช พฤษการ</t>
  </si>
  <si>
    <t>กรมโรงงานอุตสาหกรรม</t>
  </si>
  <si>
    <t>ไม่มี</t>
  </si>
  <si>
    <t>00394/68</t>
  </si>
  <si>
    <t>00395/68</t>
  </si>
  <si>
    <t>ค่าใช้จ่ายในการศึกษาเพื่อพัฒนาหลักเกณฑ์การดำเนินการเกี่ยวกับสัมปทานประกอบกิจการประปา</t>
  </si>
  <si>
    <t>กรม
ทรัพยากรน้ำ</t>
  </si>
  <si>
    <t>2207424
วิศวกรรมการประปา</t>
  </si>
  <si>
    <t>ผศ.ดร.ไชยาพงษ์ 
เทพประสิทธิ์</t>
  </si>
  <si>
    <t>ผศ.ดร.วัชมา โพธิ์ทอง</t>
  </si>
  <si>
    <t>บริษัท ทรีดี 
เอนเนอร์จี จำกัด</t>
  </si>
  <si>
    <t>ให้คำปรึกษาการออกแบบและสร้างระบบบ้าน Eco-houses แบบพึ่งพาพลังงานตัวเอง (โซล่าเซลล์) สำหรับรองรับอุทกภัย</t>
  </si>
  <si>
    <t>ศูนย์ทดสอบประตู หน้าต่าง และระบบผนังกระจกสำหรับอาคาร</t>
  </si>
  <si>
    <t>00307/68</t>
  </si>
  <si>
    <t>จ้างบำรุงรักษาระบบทะเบียนผู้ฝึกอาชีพ (JOB.DIPROM) ประจำปีงบประมาณ พ.ศ. 2568</t>
  </si>
  <si>
    <t>กรมส่งเสริมอุตสาหกรรม</t>
  </si>
  <si>
    <t>จ้างที่ปรึกษาโครงการระบบเชื่อมโยงข้อมูลเพื่อรองรับการดำเนินการทางอิเล็กทรอนิกส์ภายใต้อนุสัญญาบาเซล แขวงทุ่งพญาไท เขตราชเทวี กรุงเทพมหานคร 1 ระบบ</t>
  </si>
  <si>
    <t>กิจกรรมการพัฒนาเทคโนโลยีดิจิทัลและปัญญาประดิษฐ์สำหรับอุตสาหกรรมอาหารภายใต้โครงการซอฟต์พาวเวอร์ สาขาอาหาร ปีงบประมาณ พ.ศ. 2568</t>
  </si>
  <si>
    <t>00421/68</t>
  </si>
  <si>
    <t>00432/68</t>
  </si>
  <si>
    <t>เดือนกุมภาพันธ์ 2568</t>
  </si>
  <si>
    <t>โครงการผลิตต้นไม้ป่าขุดล้อมขนาดเล็กคืนสู่แผ่นดิน</t>
  </si>
  <si>
    <t>เจ้าของกิจการปลูกและขายต้นไม้ป่าทั่วไป</t>
  </si>
  <si>
    <t>โครงการศึกษาจัดทำแผนแม่บทการบริหารจัดการทรัพยากรน้ำ ในเขตลุ่มน้ำท่าจีน ปรับปรุงช่วงที่ 1 (พ.ศ.2566 - 2580)</t>
  </si>
  <si>
    <t>สำนักงานทรัพยากรน้ำแห่งชาติ</t>
  </si>
  <si>
    <t>2207441
การจัดการโครงการแหล่งน้ำ</t>
  </si>
  <si>
    <t>โครงการศึกษาจัดทำแผนแม่บทการบริหารจัดการทรัพยากรน้ำในเขตลุ่มน้ำเจ้าพระยา ปรับปรุงช่วงที่ 1 (พ.ศ.2566-2580)</t>
  </si>
  <si>
    <t>02207431
Feasibility and EIA</t>
  </si>
  <si>
    <t>00453/68</t>
  </si>
  <si>
    <t xml:space="preserve">00454/68
</t>
  </si>
  <si>
    <t>00442/68</t>
  </si>
  <si>
    <t>00463/68</t>
  </si>
  <si>
    <t>ให้คำปรึกษา และ ทดสอบโครงกรอบประตู หน้าต่าง ผนังอลูมิเนียมหรือวัสดุอื่น ติดกระจกตามมาตรฐาน มอก. และมาตรฐานสากลอื่น</t>
  </si>
  <si>
    <t>หน่วยงานภาครัฐ และ เอกชน ที่เกี่ยวกับมาตรฐานประตู หน้าต่าง</t>
  </si>
  <si>
    <t>กรมทรัพยากรน้ำ</t>
  </si>
  <si>
    <t>โครงการค่าใช้จ่ายในการพัฒนาระบบตรวจวัดปริมาณน้ำเก็บกักในแหล่งน้ำขนาดเล็กพื้นที่ภาคตะวันออกเฉียงเหนือ ระยะที่ 3 เพื่อการพัฒนาศักยภาพการเก็บกักและบริหารจัดการทรัพยากรน้ำ กรมทรัพยากรน้ำ แขวงพญาไท เขตพญาไท กรุงเทพมหานคร</t>
  </si>
  <si>
    <t>02207311
Engineering Hydrology</t>
  </si>
  <si>
    <t>00499/68</t>
  </si>
  <si>
    <t>00501/68</t>
  </si>
  <si>
    <t>เดือนมีนาคม 2568</t>
  </si>
  <si>
    <t>โครงการทดสอบคุณสมบัติมอร์ต้าร์ ของบริษัท คอร์มิกซ์ อินเตอร์เนชั่นแนล จำกัด</t>
  </si>
  <si>
    <t>ภาควิชาวิศวกรรมโยธา</t>
  </si>
  <si>
    <t>บริษัท คอร์มิกซ์ อินเตอร์เนชั่นแนล จำกัด</t>
  </si>
  <si>
    <t xml:space="preserve">00555/68
</t>
  </si>
  <si>
    <t>การออกแบบระบบควบคุมอัตโนมัติและวิเคราะห์ข้อมูล</t>
  </si>
  <si>
    <t>รศ.ดร.ธนา ชีพสมทรง</t>
  </si>
  <si>
    <t>ภาควิชาวิศวกรรมเครื่องกล</t>
  </si>
  <si>
    <t>ผู้ประกอบการ</t>
  </si>
  <si>
    <t>หลักสูตรประกาศนียบัตรวิศวกรรมอุตสาหการเพื่อการปรับปรุงประสิทธิภาพและกระบวนการผลิต</t>
  </si>
  <si>
    <t>ผศ.ดร.จิรเกียรติ ทรายทอง</t>
  </si>
  <si>
    <t>อ.ดร.เพ็ญพิชชา  สนิทอินทร์</t>
  </si>
  <si>
    <t>ภาควิชา
วิศวกรรมอุตสาหการ</t>
  </si>
  <si>
    <t xml:space="preserve">00620/68 </t>
  </si>
  <si>
    <t>00672/68</t>
  </si>
  <si>
    <t>เดือนพฤษภาคม 2568</t>
  </si>
  <si>
    <t>การประเมินผลของสารกระตุ้นทางชีวภาพต่อการเจริญเติบโตและผลผลิตของอ้อยและมันสำปะหลัง ณ มหาวิทยาลัยเกษตรศาสตร์ วิทยาเขตกำแพงแสน ประเทศไทย</t>
  </si>
  <si>
    <t>บริษัท 
อายิโนะโมะโต๊ะ จำกัด</t>
  </si>
  <si>
    <t>รศ.ดร.ชัยศรี สุขสาโรจน์</t>
  </si>
  <si>
    <t>water resource management project
02207441</t>
  </si>
  <si>
    <t>ขอมอบอำนาจย้อนหลัง</t>
  </si>
  <si>
    <t>บริษัท 
มิตรผลพัฒนา 
จำกัด</t>
  </si>
  <si>
    <t>บริษัท สแกน อินเตอร์ จำกัด (มหาชน)</t>
  </si>
  <si>
    <t>ภาควิชา
วิศวกรรมเครื่องกล</t>
  </si>
  <si>
    <t>การศึกษาพฤติกรรมการไหลของของไหลสำหรับอุปกรณ์แลกเปลี่ยนความร้อนแบบท่อ Vortex</t>
  </si>
  <si>
    <t>รศ.ดร.เบญญา กสานติกุล</t>
  </si>
  <si>
    <t>การจัดการและเศรษฐศาสตร์ของพลังงาน
01208442</t>
  </si>
  <si>
    <t>00720/68</t>
  </si>
  <si>
    <t>โครงการทดสอบคุณสมบัติคอนกรีตในงานก่อสร้างจุดตัดทางหลวงหมายเลข 367 ของ บริษัท ยงคอนกรีต จำกัด (มหาชน)</t>
  </si>
  <si>
    <t>ผศ.ดร.เพ็ญพิชชา สนิทอินทร์</t>
  </si>
  <si>
    <t>ภาควิชา
วิศวกรรมโยธา</t>
  </si>
  <si>
    <t>บริษัท ยงคอนกรีต จำกัด (มหาชน)</t>
  </si>
  <si>
    <t>00769/68</t>
  </si>
  <si>
    <t>เดือนเมษายน 2568</t>
  </si>
  <si>
    <t>00791/68</t>
  </si>
  <si>
    <t>00881/68</t>
  </si>
  <si>
    <t>จ้างบำรุงรักษาระบบข้อมูลเพื่อรองรับการขับเคลื่อนการใช้ประโยชน์ข้อมูลขนาดใหญ่</t>
  </si>
  <si>
    <t>โครงการก่อสร้างถังเก็บน้ำใส 70,000 ลบ.ม.สถานีสูบน้ำมินบุรี ของ บริษัท วงษ์สยามก่อสร้าง จำกัด</t>
  </si>
  <si>
    <t>บริษัท วงษ์สยามก่อสร้าง จำกัด</t>
  </si>
  <si>
    <t>00905/68</t>
  </si>
  <si>
    <t>ให้คำปรึกษา และ ทดสอบโครงกรอบประตู หน้าต่าง ผนังอลูมิเนียมหรือวัสดุอื่น ติดกระจกตามมาตรฐาน มอก. และมาตรฐานสากลอื่น ครั้งที่ 2</t>
  </si>
  <si>
    <t>00918/68</t>
  </si>
  <si>
    <t>อนุมัติ</t>
  </si>
  <si>
    <t>เดือนมิถุนายน 2568</t>
  </si>
  <si>
    <t>เดือนกรกฎาคม 2568</t>
  </si>
  <si>
    <t>เดือนสิงหาคม 2568</t>
  </si>
  <si>
    <t>การทดสอบสมรรถนะอุปกรณ์ตัดหญ้าไหล่ทาง</t>
  </si>
  <si>
    <t>ดร.นิติรงค์ พงษ์พานิช</t>
  </si>
  <si>
    <t>หน่วยงานภาครัฐ รัฐวิสาหกิจ ภาคเอกชน</t>
  </si>
  <si>
    <t>ศูนย์เครื่องจักรกลการเกษตรแห่งชาติ</t>
  </si>
  <si>
    <t>ยกเลิก</t>
  </si>
  <si>
    <t>01047/68</t>
  </si>
  <si>
    <t>สำนักงานเลขานุการ</t>
  </si>
  <si>
    <t>โครงการพัฒนาสื่อสร้างสรรค์ เสริมภาพลักษณ์องค์กรสู่ยุคดิจิทัล</t>
  </si>
  <si>
    <t>หน่วยงานภาครัฐ/เอกชน/ผู้สนใจทั่วไป/ชุมชนภายนอก/บุคลากรและนิสิตทั่วไป</t>
  </si>
  <si>
    <t>นางสาวศศิธร ชลรัตน์อมฤต</t>
  </si>
  <si>
    <t xml:space="preserve">01046/68
</t>
  </si>
  <si>
    <t>00932/68</t>
  </si>
  <si>
    <t>01072/68</t>
  </si>
  <si>
    <t>เดือนกันยายน 2568</t>
  </si>
  <si>
    <t>01159/68</t>
  </si>
  <si>
    <t>โครงการการออกแบบและปฏิบัติการให้น้ำแก่แปลงข้าวโพดขนาดใหญ่ด้วยระบบน้ำหยดแบบ Inline dripper (Low tape drip)</t>
  </si>
  <si>
    <t>บริษัท ซีพีเอฟ (ประเทศไทย) จำกัด (มหาชน)</t>
  </si>
  <si>
    <t>ผศ.นงลักษณ์ เล็กรุ่งเรืองกิจ</t>
  </si>
  <si>
    <t>ศูนย์ปฎิบัติการวิศวกรรมพลังงานและสิ่งแวเล้อม</t>
  </si>
  <si>
    <t>โครงการจัดทำแผนปรับปรุงและบำรุงรักษาอาคารและระบบชลประทาน ส่วนปรับปรุงบำรุงรักษา แขวงถนนนครไชยศรี เขตดุสิต กรุงเทพมหานคร</t>
  </si>
  <si>
    <t>ผศ.ดร.ไชยาพงษ์ เทพประสิทธิ์</t>
  </si>
  <si>
    <t>กรมชลประทาน</t>
  </si>
  <si>
    <t>หลักวิศวกรรมชลประทาน
02207111</t>
  </si>
  <si>
    <t>เดือนตุลาคม 2568</t>
  </si>
  <si>
    <t>หน่วยงานภาครัฐ/รัฐวิสาหกิจ บริษัทเอกชน และประชาชนทั่วไปผู้สนใจ</t>
  </si>
  <si>
    <t>นายพิสิษฐ์ อินทรวิรัตน์</t>
  </si>
  <si>
    <t>โครงการให้บริการทดสอบเครื่องยนต์ขนาดเล็กและน้ำมันเชื้อเพลิง ปีงบประมาณ 2569</t>
  </si>
  <si>
    <t>โครงการการทดสอบเครื่องจักรกลการเกษตร</t>
  </si>
  <si>
    <t>นายทิตินัย เทียนแย้ม</t>
  </si>
  <si>
    <t>โครงการศึกษางานซ่อมถังน้ำคอนกรีตขนาดใหญ่โดยใช้วัสดุซ่อมแซมสมรรถนะสูง แบบเทและฉาบ</t>
  </si>
  <si>
    <t>การประปานครหลวง</t>
  </si>
  <si>
    <t>รศ.ดร.นันทวัฒน์ ขมหวาน</t>
  </si>
  <si>
    <t>Structural Damage and Rehabilitation
203422</t>
  </si>
  <si>
    <t>01220/68</t>
  </si>
  <si>
    <t>01212/68</t>
  </si>
  <si>
    <t>01216/68</t>
  </si>
  <si>
    <t>01201/68</t>
  </si>
  <si>
    <t>โครงการให้บริการด้านการพัฒนา ผลิตเครื่องมือเครื่องจักร และสิ่งประดิษฐ์ด้านการเกษตร พลังงานและสิ่งแวดล้อม (ปี 2569)</t>
  </si>
  <si>
    <t>02201495
การเตรียมโครงงานวิศวกรรมเกษตร
02201499
โครงงานวิศวกรรมเกษตร</t>
  </si>
  <si>
    <t>จ้างบริการบำรุงรักษาและซ่อมแซมแก้ไขคอมพิวเตอร์ ระบบสารสนเทศตามพระราชบัญญัติวัตถุอันตราย พ.ศ. 2535 ปีงบประมาณ พ.ศ. 2569</t>
  </si>
  <si>
    <t>กรมโรงงานอุตสาหกรรม
 กระทรวงอุตสาหกรรม</t>
  </si>
  <si>
    <t>อาจารย์พฤษพล ตั้งสัจจะธรรม</t>
  </si>
  <si>
    <t>ค่าใช้จ่ายในการพัฒนาระบบแบบจำลองทางคณิตศาสตร์เพื่อการพยากรณ์น้ำฝน-น้ำท่าของพื้นที่ลุ่มน้ำประเทศไทย กรมทรัพยากรน้ำ แขวงพญาไท เขตพญาไท กรุงเทพมหานคร</t>
  </si>
  <si>
    <t>02207351
Computer Application for Irrigation Engineering</t>
  </si>
  <si>
    <t>โครงการวิเคราะห์ข้อมูลเพื่อบูรณาการข้อมูลสำหรับการประเมินผลด้านทรัพยากรน้ำของประเทศ</t>
  </si>
  <si>
    <t>บริษัท 
คลิกเกอร์แล็บ 
จำกัด</t>
  </si>
  <si>
    <t>02207542
Project Planning and Assessment</t>
  </si>
  <si>
    <t>โครงการวิเคราะห์และจัดทำชุดความรู้การบริหารจัดการทรัพยากรน้ำระดับชุมชน</t>
  </si>
  <si>
    <t>สำนักงาน
ทรัพยากรน้ำแห่งชาติ</t>
  </si>
  <si>
    <t>02207441
Management of WRP</t>
  </si>
  <si>
    <t>การอบรมเชิงปฏิบัติการและการทดสอบชุดสูบน้ำระบบไฮดรอลิคแบบปรับช่วงการทำงานประสิทธิภาพสูงขนาดใหญ่เพื่อการใช้งานด้านการบริหารและการจัดการน้ำในประเทศ</t>
  </si>
  <si>
    <t>บริษัท ฟิวเจอร์ ไลน์ 
โซลูชั่น</t>
  </si>
  <si>
    <t>00020/69</t>
  </si>
  <si>
    <t>00029/69</t>
  </si>
  <si>
    <t>ภาครัฐ เอกชน และประชาชน/ผู้สนใจทั่วไป</t>
  </si>
  <si>
    <t>ดร.อรรถวุทธิ์ รื่นเริงใจ</t>
  </si>
  <si>
    <t>โครงการให้บริการด้านการออกแบบ ติดตั้ง และพัฒนาเครื่องจักร อุปกรณ์ ที่เกี่ยวข้องกับการผลิตพลังงานทดแทน (ปี 2569)</t>
  </si>
  <si>
    <t>หัวหน้าโครงการ</t>
  </si>
  <si>
    <t>รศ.กฤษณะ  จันทรโชติ</t>
  </si>
  <si>
    <t>โครงการทดสอบวัสดุทางวิศวกรรมโยธา ประจำปีงบประมาณ 
พ.ศ. 2569</t>
  </si>
  <si>
    <t>02232232
การทดสอบวัสดุวิศวกรรมโยธาและการก่อสร้าง</t>
  </si>
  <si>
    <t>00042/69</t>
  </si>
  <si>
    <t>00076/69</t>
  </si>
  <si>
    <t>00082/69</t>
  </si>
  <si>
    <t>00083/69</t>
  </si>
  <si>
    <t>จ้างจัดหาระบบควบคุมประตูระบายน้ำจากระยะไกลในพื้นที่สำนักงานชลประทานที่ 10 ตำบลเขาพระงาม อำเภอเมืองลพบุรี จังหวัดลพบุรี</t>
  </si>
  <si>
    <t>จ้างจัดหาระบบควบคุมระยะไกลของ ปตร.มหาราชและอาคารประกอบ สำนักงานชลประทานที่ 10 ตำบลตลุก อำเภอสรรพยา จังหวัดชัยนาท</t>
  </si>
  <si>
    <t>รศ.ดร.วิษุวัฒก์ แต้สมบัติ</t>
  </si>
  <si>
    <t>สำนักงานชลประทานที่ 10 กรมชลประทาน</t>
  </si>
  <si>
    <t>02207545
Flood Forecasting and Warning System</t>
  </si>
  <si>
    <t>ค่าครุภัณฑ์</t>
  </si>
  <si>
    <t>00086/69</t>
  </si>
  <si>
    <t>00120/69</t>
  </si>
  <si>
    <t>เดือนพฤศจิกายน 2568</t>
  </si>
  <si>
    <t>โครงการให้บริการตรวจสอบเสถียรภาพของอาคาร 9 ประเภท</t>
  </si>
  <si>
    <t>หน่วยงานภาครัฐ รัฐวิสาหกิจ ภาคเอกชน เจ้าของอาคาร และอื่นๆ</t>
  </si>
  <si>
    <t>00142/69</t>
  </si>
  <si>
    <t>อ.ธิติพงศ์ โพธิสุทธิ์</t>
  </si>
  <si>
    <t>โครงการพัฒนาแนวทางการประเมินประสิทธิผลและความคุ้มค่าของงานอำนวยความปลอดภัยทางหลวง 1 โครงการ</t>
  </si>
  <si>
    <t>กรมทางหลวง</t>
  </si>
  <si>
    <t>โครงการขับเคลื่อนภาคอุตสาหกรรมสู่การเปลี่ยนผ่านการผลิตที่ยั่งยืนและยกระดับความสามารถในการแข่งขันด้วยเทคโนโลยีหรือนวัตกรรม</t>
  </si>
  <si>
    <t>ผศ.ดร.หทัยเทพ  วงศ์สุวรรณ</t>
  </si>
  <si>
    <t>สํานักงานเศรษฐกิจอุตสาหกรรม กระทรวงอุตสาหกรรม</t>
  </si>
  <si>
    <t>01208478
การตรวจสอบและวิเคราะห์การสั่น
01208476
การเรียนรู้ของเครื่องสำหรับวิศวกรรมเครื่องกล</t>
  </si>
  <si>
    <t>จ้างที่ปรึกษาโครงการระบบติดตามและควบคุมการครอบครองของเสียเคมีวัตถุ แขวงทุ่งพญาไท เขตราชเทวี กรุงเทพมหานคร 1 ระบบ</t>
  </si>
  <si>
    <t>การออกแบบระบบสารสนเทศเพื่อติดตามและควบคุมการครอบครองของเสียเคมีวัตถุ</t>
  </si>
  <si>
    <t>ผศ.ดร.ทรงศักดิ์ ภัทราวุฒิชัย</t>
  </si>
  <si>
    <t>โครงการระบบการอนุญาตวัตถุอันตรายเพื่ออำนวยความสะดวกด้านการค้าการลงทุน แขวงทุ่งพญาไท เขตราชเทวี กรุงเทพมหานคร 1 ระบบ</t>
  </si>
  <si>
    <t>จ้างที่ปรึกษาโครงการปรับปรุงระบบเฝ้าระวังและเตือนภัยมลพิษระยะไกล (D-POMS) แขวงทุ่งพญาไท เขตราชเทวี กรุงเทพมหานคร 1 ระบบ</t>
  </si>
  <si>
    <t>02207431
Feasibility Study and Environment Impact Assessment</t>
  </si>
  <si>
    <t>โครงการศึกษาจัดทำคู่มือแนวทางการบริหารจัดการน้ำในภาวะวิกฤติ (ตามมาตรา 24)</t>
  </si>
  <si>
    <t>02207441
Management of Water resources Project</t>
  </si>
  <si>
    <t>โครงการรวบรวม ตรวจสอบ วิเคราะห์ความถูกต้องของข้อมูลสถานการณ์น้ำ ส่วนประมวลวิเคราะห์สถานการณ์น้ำ แขวงถนนนครไชยศรี เขตดุสิต กรุงเทพมหานคร</t>
  </si>
  <si>
    <t>ค่าใช้จ่ายในการจัดทำกลยุทธ์การกำหนดนโยบายและความร่วมมือด้านพลังงานของประเทศเพื่อรองรับการเปลี่ยนแปลงในระยะยาว</t>
  </si>
  <si>
    <t>สำนักงานนโยบายและแผนพลังงาน</t>
  </si>
  <si>
    <t>บริษัท 
คลิกเกอร์แล็บ จำกัด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</si>
</sst>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-* #,##0_-;\-* #,##0_-;_-* &quot;-&quot;??_-;_-@_-"/>
  </numFmts>
  <fonts count="11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0"/>
      <name val="Arial"/>
      <family val="2"/>
    </font>
    <font>
      <b/>
      <sz val="16"/>
      <name val="TH Sarabun New"/>
      <family val="2"/>
    </font>
    <font>
      <sz val="16"/>
      <name val="TH Sarabun New"/>
      <family val="2"/>
    </font>
    <font>
      <b/>
      <sz val="14"/>
      <name val="TH Sarabun New"/>
      <family val="2"/>
    </font>
    <font>
      <b/>
      <sz val="12"/>
      <name val="TH Sarabun New"/>
      <family val="2"/>
    </font>
    <font>
      <sz val="14"/>
      <name val="TH Sarabun New"/>
      <family val="2"/>
    </font>
    <font>
      <sz val="12"/>
      <name val="TH Sarabun New"/>
      <family val="2"/>
    </font>
    <font>
      <sz val="14"/>
      <color theme="1"/>
      <name val="TH Sarabun New"/>
      <family val="2"/>
    </font>
    <font>
      <sz val="14"/>
      <color rgb="FF222222"/>
      <name val="TH Sarabun New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Font="0" applyFill="0" applyBorder="0" applyAlignment="0" applyProtection="0"/>
  </cellStyleXfs>
  <cellXfs count="74">
    <xf numFmtId="0" fontId="0" fillId="0" borderId="0" xfId="0"/>
    <xf numFmtId="0" fontId="4" fillId="0" borderId="0" xfId="0" applyFont="1"/>
    <xf numFmtId="0" fontId="7" fillId="0" borderId="4" xfId="0" applyFont="1" applyBorder="1" applyAlignment="1">
      <alignment horizontal="center" vertical="top"/>
    </xf>
    <xf numFmtId="0" fontId="7" fillId="0" borderId="4" xfId="0" applyFont="1" applyBorder="1" applyAlignment="1">
      <alignment horizontal="center" vertical="top" wrapText="1"/>
    </xf>
    <xf numFmtId="43" fontId="7" fillId="0" borderId="4" xfId="1" applyFont="1" applyBorder="1" applyAlignment="1">
      <alignment vertical="top"/>
    </xf>
    <xf numFmtId="0" fontId="7" fillId="0" borderId="4" xfId="0" applyFont="1" applyBorder="1" applyAlignment="1">
      <alignment vertical="top"/>
    </xf>
    <xf numFmtId="15" fontId="7" fillId="0" borderId="4" xfId="0" applyNumberFormat="1" applyFont="1" applyBorder="1" applyAlignment="1">
      <alignment horizontal="center" vertical="top"/>
    </xf>
    <xf numFmtId="0" fontId="7" fillId="0" borderId="0" xfId="0" applyFont="1" applyAlignment="1">
      <alignment vertical="top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 vertical="top" wrapText="1" shrinkToFit="1"/>
    </xf>
    <xf numFmtId="0" fontId="7" fillId="0" borderId="0" xfId="0" applyFont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vertical="center"/>
    </xf>
    <xf numFmtId="0" fontId="7" fillId="0" borderId="0" xfId="0" applyFont="1" applyAlignment="1">
      <alignment wrapText="1"/>
    </xf>
    <xf numFmtId="0" fontId="4" fillId="0" borderId="0" xfId="0" applyFont="1" applyAlignment="1">
      <alignment vertical="top"/>
    </xf>
    <xf numFmtId="0" fontId="5" fillId="0" borderId="4" xfId="0" applyFont="1" applyBorder="1" applyAlignment="1">
      <alignment horizontal="center" vertical="top" wrapText="1" shrinkToFit="1"/>
    </xf>
    <xf numFmtId="43" fontId="7" fillId="0" borderId="4" xfId="1" applyFont="1" applyBorder="1" applyAlignment="1">
      <alignment horizontal="left" vertical="top"/>
    </xf>
    <xf numFmtId="43" fontId="7" fillId="0" borderId="4" xfId="0" applyNumberFormat="1" applyFont="1" applyBorder="1" applyAlignment="1">
      <alignment horizontal="center" vertical="top" textRotation="90"/>
    </xf>
    <xf numFmtId="0" fontId="7" fillId="0" borderId="6" xfId="0" applyFont="1" applyBorder="1" applyAlignment="1">
      <alignment horizontal="center" vertical="top" wrapText="1"/>
    </xf>
    <xf numFmtId="0" fontId="7" fillId="0" borderId="7" xfId="0" applyFont="1" applyBorder="1" applyAlignment="1">
      <alignment horizontal="center" vertical="top" wrapText="1" shrinkToFit="1"/>
    </xf>
    <xf numFmtId="0" fontId="7" fillId="0" borderId="8" xfId="0" applyFont="1" applyBorder="1" applyAlignment="1">
      <alignment horizontal="center" vertical="top" wrapText="1" shrinkToFit="1"/>
    </xf>
    <xf numFmtId="0" fontId="8" fillId="0" borderId="8" xfId="0" applyFont="1" applyBorder="1" applyAlignment="1">
      <alignment horizontal="center" vertical="top" wrapText="1"/>
    </xf>
    <xf numFmtId="0" fontId="7" fillId="0" borderId="8" xfId="0" applyFont="1" applyBorder="1" applyAlignment="1">
      <alignment horizontal="center" vertical="top" textRotation="90"/>
    </xf>
    <xf numFmtId="15" fontId="7" fillId="0" borderId="4" xfId="0" applyNumberFormat="1" applyFont="1" applyBorder="1" applyAlignment="1">
      <alignment horizontal="center" vertical="top" wrapText="1" shrinkToFit="1"/>
    </xf>
    <xf numFmtId="43" fontId="7" fillId="0" borderId="8" xfId="1" applyFont="1" applyBorder="1" applyAlignment="1">
      <alignment horizontal="center" vertical="top" shrinkToFit="1"/>
    </xf>
    <xf numFmtId="43" fontId="9" fillId="0" borderId="4" xfId="0" applyNumberFormat="1" applyFont="1" applyBorder="1" applyAlignment="1">
      <alignment horizontal="center" vertical="top" textRotation="90"/>
    </xf>
    <xf numFmtId="0" fontId="4" fillId="0" borderId="4" xfId="0" applyFont="1" applyBorder="1"/>
    <xf numFmtId="0" fontId="4" fillId="0" borderId="4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 wrapText="1"/>
    </xf>
    <xf numFmtId="43" fontId="7" fillId="0" borderId="4" xfId="0" applyNumberFormat="1" applyFont="1" applyBorder="1" applyAlignment="1">
      <alignment horizontal="center" textRotation="90"/>
    </xf>
    <xf numFmtId="0" fontId="7" fillId="0" borderId="4" xfId="0" applyFont="1" applyBorder="1"/>
    <xf numFmtId="0" fontId="7" fillId="0" borderId="5" xfId="0" applyFont="1" applyBorder="1" applyAlignment="1">
      <alignment horizontal="center" vertical="top"/>
    </xf>
    <xf numFmtId="0" fontId="7" fillId="0" borderId="8" xfId="0" applyFont="1" applyBorder="1" applyAlignment="1">
      <alignment horizontal="center" vertical="top" wrapText="1"/>
    </xf>
    <xf numFmtId="0" fontId="10" fillId="0" borderId="0" xfId="0" applyFont="1" applyAlignment="1">
      <alignment horizontal="center" vertical="top"/>
    </xf>
    <xf numFmtId="4" fontId="7" fillId="0" borderId="4" xfId="0" applyNumberFormat="1" applyFont="1" applyBorder="1" applyAlignment="1">
      <alignment vertical="top"/>
    </xf>
    <xf numFmtId="43" fontId="7" fillId="0" borderId="4" xfId="1" applyFont="1" applyBorder="1" applyAlignment="1">
      <alignment vertical="top" textRotation="90"/>
    </xf>
    <xf numFmtId="15" fontId="7" fillId="0" borderId="4" xfId="0" applyNumberFormat="1" applyFont="1" applyBorder="1" applyAlignment="1">
      <alignment vertical="top"/>
    </xf>
    <xf numFmtId="43" fontId="7" fillId="0" borderId="4" xfId="1" applyFont="1" applyBorder="1" applyAlignment="1">
      <alignment horizontal="center" vertical="top" textRotation="90"/>
    </xf>
    <xf numFmtId="43" fontId="7" fillId="0" borderId="4" xfId="0" applyNumberFormat="1" applyFont="1" applyBorder="1" applyAlignment="1">
      <alignment vertical="top" textRotation="90"/>
    </xf>
    <xf numFmtId="49" fontId="7" fillId="0" borderId="4" xfId="0" applyNumberFormat="1" applyFont="1" applyBorder="1" applyAlignment="1">
      <alignment horizontal="center" vertical="top" wrapText="1"/>
    </xf>
    <xf numFmtId="4" fontId="7" fillId="0" borderId="4" xfId="0" applyNumberFormat="1" applyFont="1" applyBorder="1" applyAlignment="1">
      <alignment horizontal="center" vertical="top" textRotation="90"/>
    </xf>
    <xf numFmtId="43" fontId="7" fillId="0" borderId="4" xfId="1" applyFont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3" fillId="0" borderId="13" xfId="0" applyFont="1" applyBorder="1" applyAlignment="1">
      <alignment horizontal="center" vertical="top" wrapText="1" shrinkToFit="1"/>
    </xf>
    <xf numFmtId="0" fontId="5" fillId="0" borderId="2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 shrinkToFit="1"/>
    </xf>
    <xf numFmtId="0" fontId="5" fillId="0" borderId="3" xfId="0" applyFont="1" applyBorder="1" applyAlignment="1">
      <alignment horizontal="center" vertical="top" wrapText="1" shrinkToFit="1"/>
    </xf>
    <xf numFmtId="0" fontId="5" fillId="0" borderId="10" xfId="0" applyFont="1" applyBorder="1" applyAlignment="1">
      <alignment horizontal="center" vertical="top" wrapText="1" shrinkToFit="1"/>
    </xf>
    <xf numFmtId="0" fontId="5" fillId="0" borderId="7" xfId="0" applyFont="1" applyBorder="1" applyAlignment="1">
      <alignment horizontal="center" vertical="top" wrapText="1" shrinkToFit="1"/>
    </xf>
    <xf numFmtId="0" fontId="5" fillId="0" borderId="2" xfId="0" applyFont="1" applyBorder="1" applyAlignment="1">
      <alignment horizontal="center" vertical="top" wrapText="1" shrinkToFit="1"/>
    </xf>
    <xf numFmtId="0" fontId="5" fillId="0" borderId="1" xfId="0" applyFont="1" applyBorder="1" applyAlignment="1">
      <alignment horizontal="center" vertical="top" wrapText="1" shrinkToFit="1"/>
    </xf>
    <xf numFmtId="0" fontId="5" fillId="0" borderId="5" xfId="0" applyFont="1" applyBorder="1" applyAlignment="1">
      <alignment horizontal="center" vertical="top" wrapText="1" shrinkToFit="1"/>
    </xf>
    <xf numFmtId="0" fontId="5" fillId="0" borderId="8" xfId="0" applyFont="1" applyBorder="1" applyAlignment="1">
      <alignment horizontal="center" vertical="top" wrapText="1" shrinkToFit="1"/>
    </xf>
    <xf numFmtId="0" fontId="5" fillId="0" borderId="12" xfId="0" applyFont="1" applyBorder="1" applyAlignment="1">
      <alignment horizontal="center" vertical="top" wrapText="1" shrinkToFit="1"/>
    </xf>
    <xf numFmtId="0" fontId="5" fillId="0" borderId="9" xfId="0" applyFont="1" applyBorder="1" applyAlignment="1">
      <alignment horizontal="center" vertical="top" wrapText="1" shrinkToFit="1"/>
    </xf>
    <xf numFmtId="187" fontId="5" fillId="0" borderId="1" xfId="2" applyNumberFormat="1" applyFont="1" applyBorder="1" applyAlignment="1">
      <alignment horizontal="center" vertical="top" wrapText="1" shrinkToFit="1"/>
    </xf>
    <xf numFmtId="187" fontId="5" fillId="0" borderId="5" xfId="2" applyNumberFormat="1" applyFont="1" applyBorder="1" applyAlignment="1">
      <alignment horizontal="center" vertical="top" wrapText="1" shrinkToFit="1"/>
    </xf>
    <xf numFmtId="187" fontId="5" fillId="0" borderId="8" xfId="2" applyNumberFormat="1" applyFont="1" applyBorder="1" applyAlignment="1">
      <alignment horizontal="center" vertical="top" wrapText="1" shrinkToFit="1"/>
    </xf>
    <xf numFmtId="0" fontId="5" fillId="0" borderId="4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 textRotation="90"/>
    </xf>
    <xf numFmtId="0" fontId="5" fillId="0" borderId="5" xfId="0" applyFont="1" applyBorder="1" applyAlignment="1">
      <alignment horizontal="center" vertical="top" textRotation="90"/>
    </xf>
    <xf numFmtId="0" fontId="5" fillId="0" borderId="8" xfId="0" applyFont="1" applyBorder="1" applyAlignment="1">
      <alignment horizontal="center" vertical="top" textRotation="90"/>
    </xf>
    <xf numFmtId="0" fontId="6" fillId="0" borderId="4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 shrinkToFit="1"/>
    </xf>
    <xf numFmtId="0" fontId="5" fillId="0" borderId="4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top"/>
    </xf>
    <xf numFmtId="0" fontId="5" fillId="0" borderId="9" xfId="0" applyFont="1" applyBorder="1" applyAlignment="1">
      <alignment horizontal="center" vertical="top"/>
    </xf>
  </cellXfs>
  <cellStyles count="3">
    <cellStyle name="Comma 2" xfId="2" xr:uid="{00000000-0005-0000-0000-000000000000}"/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3"/>
  <sheetViews>
    <sheetView topLeftCell="A6" zoomScale="80" zoomScaleNormal="80" workbookViewId="0">
      <selection activeCell="W20" sqref="W20"/>
    </sheetView>
  </sheetViews>
  <sheetFormatPr defaultColWidth="9" defaultRowHeight="24" x14ac:dyDescent="0.55000000000000004"/>
  <cols>
    <col min="1" max="1" width="4.875" style="1" customWidth="1"/>
    <col min="2" max="2" width="24.625" style="1" customWidth="1"/>
    <col min="3" max="3" width="17.625" style="8" customWidth="1"/>
    <col min="4" max="4" width="6.375" style="8" customWidth="1"/>
    <col min="5" max="5" width="7.375" style="8" customWidth="1"/>
    <col min="6" max="6" width="15.25" style="9" customWidth="1"/>
    <col min="7" max="8" width="10.75" style="10" customWidth="1"/>
    <col min="9" max="9" width="15.625" style="1" customWidth="1"/>
    <col min="10" max="10" width="5.875" style="1" customWidth="1"/>
    <col min="11" max="12" width="5.125" style="1" customWidth="1"/>
    <col min="13" max="13" width="4.375" style="1" customWidth="1"/>
    <col min="14" max="14" width="9.125" style="1" customWidth="1"/>
    <col min="15" max="15" width="9.625" style="1" customWidth="1"/>
    <col min="16" max="17" width="8.625" style="1" customWidth="1"/>
    <col min="18" max="18" width="9.75" style="1" customWidth="1"/>
    <col min="19" max="20" width="8" style="1" customWidth="1"/>
    <col min="21" max="21" width="8.625" style="8" customWidth="1"/>
    <col min="22" max="22" width="10.625" style="1" customWidth="1"/>
    <col min="23" max="23" width="11.5" style="1" customWidth="1"/>
    <col min="24" max="24" width="7.25" style="1" customWidth="1"/>
    <col min="25" max="25" width="10.375" style="1" bestFit="1" customWidth="1"/>
    <col min="26" max="16384" width="9" style="1"/>
  </cols>
  <sheetData>
    <row r="1" spans="1:24" x14ac:dyDescent="0.55000000000000004">
      <c r="A1" s="44" t="s">
        <v>10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</row>
    <row r="2" spans="1:24" ht="24.75" customHeight="1" x14ac:dyDescent="0.55000000000000004">
      <c r="A2" s="45" t="s">
        <v>30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</row>
    <row r="3" spans="1:24" s="16" customFormat="1" ht="24.75" customHeight="1" x14ac:dyDescent="0.2">
      <c r="A3" s="46" t="s">
        <v>9</v>
      </c>
      <c r="B3" s="49" t="s">
        <v>0</v>
      </c>
      <c r="C3" s="50" t="s">
        <v>13</v>
      </c>
      <c r="D3" s="53" t="s">
        <v>1</v>
      </c>
      <c r="E3" s="50"/>
      <c r="F3" s="54" t="s">
        <v>11</v>
      </c>
      <c r="G3" s="57" t="s">
        <v>2</v>
      </c>
      <c r="H3" s="58"/>
      <c r="I3" s="59" t="s">
        <v>3</v>
      </c>
      <c r="J3" s="62" t="s">
        <v>12</v>
      </c>
      <c r="K3" s="62"/>
      <c r="L3" s="62"/>
      <c r="M3" s="62"/>
      <c r="N3" s="72" t="s">
        <v>21</v>
      </c>
      <c r="O3" s="73"/>
      <c r="P3" s="72" t="s">
        <v>24</v>
      </c>
      <c r="Q3" s="73"/>
      <c r="R3" s="53" t="s">
        <v>4</v>
      </c>
      <c r="S3" s="50"/>
      <c r="T3" s="53" t="s">
        <v>5</v>
      </c>
      <c r="U3" s="50"/>
      <c r="V3" s="69" t="s">
        <v>29</v>
      </c>
      <c r="W3" s="54" t="s">
        <v>18</v>
      </c>
      <c r="X3" s="63" t="s">
        <v>6</v>
      </c>
    </row>
    <row r="4" spans="1:24" s="16" customFormat="1" ht="36" customHeight="1" x14ac:dyDescent="0.2">
      <c r="A4" s="47"/>
      <c r="B4" s="49"/>
      <c r="C4" s="51"/>
      <c r="D4" s="54" t="s">
        <v>22</v>
      </c>
      <c r="E4" s="54" t="s">
        <v>23</v>
      </c>
      <c r="F4" s="55"/>
      <c r="G4" s="54" t="s">
        <v>27</v>
      </c>
      <c r="H4" s="54" t="s">
        <v>28</v>
      </c>
      <c r="I4" s="60"/>
      <c r="J4" s="66" t="s">
        <v>14</v>
      </c>
      <c r="K4" s="66" t="s">
        <v>15</v>
      </c>
      <c r="L4" s="66" t="s">
        <v>16</v>
      </c>
      <c r="M4" s="66" t="s">
        <v>17</v>
      </c>
      <c r="N4" s="70" t="s">
        <v>19</v>
      </c>
      <c r="O4" s="70" t="s">
        <v>20</v>
      </c>
      <c r="P4" s="70" t="s">
        <v>25</v>
      </c>
      <c r="Q4" s="70" t="s">
        <v>26</v>
      </c>
      <c r="R4" s="68"/>
      <c r="S4" s="52"/>
      <c r="T4" s="68"/>
      <c r="U4" s="52"/>
      <c r="V4" s="69"/>
      <c r="W4" s="55"/>
      <c r="X4" s="64"/>
    </row>
    <row r="5" spans="1:24" s="16" customFormat="1" ht="66.75" customHeight="1" x14ac:dyDescent="0.2">
      <c r="A5" s="48"/>
      <c r="B5" s="49"/>
      <c r="C5" s="52"/>
      <c r="D5" s="56"/>
      <c r="E5" s="56"/>
      <c r="F5" s="56"/>
      <c r="G5" s="56"/>
      <c r="H5" s="56"/>
      <c r="I5" s="61"/>
      <c r="J5" s="67"/>
      <c r="K5" s="67"/>
      <c r="L5" s="67"/>
      <c r="M5" s="67"/>
      <c r="N5" s="71"/>
      <c r="O5" s="71"/>
      <c r="P5" s="71"/>
      <c r="Q5" s="71"/>
      <c r="R5" s="17" t="s">
        <v>7</v>
      </c>
      <c r="S5" s="17" t="s">
        <v>8</v>
      </c>
      <c r="T5" s="17" t="s">
        <v>7</v>
      </c>
      <c r="U5" s="17" t="s">
        <v>8</v>
      </c>
      <c r="V5" s="69"/>
      <c r="W5" s="56"/>
      <c r="X5" s="65"/>
    </row>
    <row r="6" spans="1:24" s="16" customFormat="1" ht="66.75" customHeight="1" x14ac:dyDescent="0.2">
      <c r="A6" s="20">
        <v>1</v>
      </c>
      <c r="B6" s="11" t="s">
        <v>54</v>
      </c>
      <c r="C6" s="21" t="s">
        <v>40</v>
      </c>
      <c r="D6" s="22">
        <v>1</v>
      </c>
      <c r="E6" s="22" t="s">
        <v>35</v>
      </c>
      <c r="F6" s="22" t="s">
        <v>38</v>
      </c>
      <c r="G6" s="22" t="s">
        <v>35</v>
      </c>
      <c r="H6" s="22" t="s">
        <v>55</v>
      </c>
      <c r="I6" s="26">
        <v>420000</v>
      </c>
      <c r="J6" s="27">
        <f t="shared" ref="J6:J12" si="0">I6*15%</f>
        <v>63000</v>
      </c>
      <c r="K6" s="19">
        <f t="shared" ref="K6:K12" si="1">J6/3</f>
        <v>21000</v>
      </c>
      <c r="L6" s="19">
        <f t="shared" ref="L6:L12" si="2">J6/3</f>
        <v>21000</v>
      </c>
      <c r="M6" s="19">
        <f t="shared" ref="M6:M12" si="3">J6/3</f>
        <v>21000</v>
      </c>
      <c r="N6" s="23"/>
      <c r="O6" s="23" t="s">
        <v>35</v>
      </c>
      <c r="P6" s="23" t="s">
        <v>35</v>
      </c>
      <c r="Q6" s="23" t="s">
        <v>35</v>
      </c>
      <c r="R6" s="25">
        <v>24852</v>
      </c>
      <c r="S6" s="25">
        <v>25218</v>
      </c>
      <c r="T6" s="6" t="s">
        <v>42</v>
      </c>
      <c r="U6" s="6" t="s">
        <v>42</v>
      </c>
      <c r="V6" s="3" t="s">
        <v>53</v>
      </c>
      <c r="W6" s="22"/>
      <c r="X6" s="24"/>
    </row>
    <row r="7" spans="1:24" s="7" customFormat="1" ht="108.75" x14ac:dyDescent="0.2">
      <c r="A7" s="2">
        <v>2</v>
      </c>
      <c r="B7" s="3" t="s">
        <v>32</v>
      </c>
      <c r="C7" s="3" t="s">
        <v>37</v>
      </c>
      <c r="D7" s="2">
        <v>10</v>
      </c>
      <c r="E7" s="2" t="s">
        <v>35</v>
      </c>
      <c r="F7" s="3" t="s">
        <v>36</v>
      </c>
      <c r="G7" s="2" t="s">
        <v>35</v>
      </c>
      <c r="H7" s="3" t="s">
        <v>34</v>
      </c>
      <c r="I7" s="18">
        <v>5000000</v>
      </c>
      <c r="J7" s="19">
        <f t="shared" si="0"/>
        <v>750000</v>
      </c>
      <c r="K7" s="19">
        <f t="shared" si="1"/>
        <v>250000</v>
      </c>
      <c r="L7" s="19">
        <f t="shared" si="2"/>
        <v>250000</v>
      </c>
      <c r="M7" s="19">
        <f t="shared" si="3"/>
        <v>250000</v>
      </c>
      <c r="N7" s="3" t="s">
        <v>33</v>
      </c>
      <c r="O7" s="2" t="s">
        <v>35</v>
      </c>
      <c r="P7" s="2" t="s">
        <v>35</v>
      </c>
      <c r="Q7" s="2" t="s">
        <v>35</v>
      </c>
      <c r="R7" s="6">
        <v>24853</v>
      </c>
      <c r="S7" s="6">
        <v>25219</v>
      </c>
      <c r="T7" s="6">
        <v>24991</v>
      </c>
      <c r="U7" s="6">
        <v>25167</v>
      </c>
      <c r="V7" s="2" t="s">
        <v>31</v>
      </c>
      <c r="W7" s="5"/>
      <c r="X7" s="2"/>
    </row>
    <row r="8" spans="1:24" s="7" customFormat="1" ht="130.5" x14ac:dyDescent="0.2">
      <c r="A8" s="2">
        <v>3</v>
      </c>
      <c r="B8" s="3" t="s">
        <v>39</v>
      </c>
      <c r="C8" s="3" t="s">
        <v>40</v>
      </c>
      <c r="D8" s="2">
        <v>10</v>
      </c>
      <c r="E8" s="2">
        <v>20</v>
      </c>
      <c r="F8" s="3" t="s">
        <v>38</v>
      </c>
      <c r="G8" s="2" t="s">
        <v>35</v>
      </c>
      <c r="H8" s="3" t="s">
        <v>41</v>
      </c>
      <c r="I8" s="18">
        <v>13500000</v>
      </c>
      <c r="J8" s="19">
        <f t="shared" si="0"/>
        <v>2025000</v>
      </c>
      <c r="K8" s="19">
        <f t="shared" si="1"/>
        <v>675000</v>
      </c>
      <c r="L8" s="19">
        <f t="shared" si="2"/>
        <v>675000</v>
      </c>
      <c r="M8" s="19">
        <f t="shared" si="3"/>
        <v>675000</v>
      </c>
      <c r="N8" s="3" t="s">
        <v>35</v>
      </c>
      <c r="O8" s="2" t="s">
        <v>35</v>
      </c>
      <c r="P8" s="2" t="s">
        <v>35</v>
      </c>
      <c r="Q8" s="2" t="s">
        <v>35</v>
      </c>
      <c r="R8" s="6">
        <v>24893</v>
      </c>
      <c r="S8" s="6">
        <v>25411</v>
      </c>
      <c r="T8" s="6" t="s">
        <v>42</v>
      </c>
      <c r="U8" s="6" t="s">
        <v>42</v>
      </c>
      <c r="V8" s="2" t="s">
        <v>43</v>
      </c>
      <c r="W8" s="5"/>
      <c r="X8" s="2"/>
    </row>
    <row r="9" spans="1:24" s="7" customFormat="1" ht="75.75" customHeight="1" x14ac:dyDescent="0.2">
      <c r="A9" s="2">
        <v>4</v>
      </c>
      <c r="B9" s="3" t="s">
        <v>45</v>
      </c>
      <c r="C9" s="11" t="s">
        <v>48</v>
      </c>
      <c r="D9" s="2">
        <v>8</v>
      </c>
      <c r="E9" s="2">
        <v>1</v>
      </c>
      <c r="F9" s="3" t="s">
        <v>36</v>
      </c>
      <c r="G9" s="3" t="s">
        <v>35</v>
      </c>
      <c r="H9" s="3" t="s">
        <v>46</v>
      </c>
      <c r="I9" s="4">
        <v>7860000</v>
      </c>
      <c r="J9" s="19">
        <f t="shared" si="0"/>
        <v>1179000</v>
      </c>
      <c r="K9" s="19">
        <f t="shared" si="1"/>
        <v>393000</v>
      </c>
      <c r="L9" s="19">
        <f t="shared" si="2"/>
        <v>393000</v>
      </c>
      <c r="M9" s="19">
        <f t="shared" si="3"/>
        <v>393000</v>
      </c>
      <c r="N9" s="3" t="s">
        <v>47</v>
      </c>
      <c r="O9" s="2" t="s">
        <v>35</v>
      </c>
      <c r="P9" s="2" t="s">
        <v>35</v>
      </c>
      <c r="Q9" s="2" t="s">
        <v>35</v>
      </c>
      <c r="R9" s="6">
        <v>24853</v>
      </c>
      <c r="S9" s="6">
        <v>25218</v>
      </c>
      <c r="T9" s="6">
        <v>25051</v>
      </c>
      <c r="U9" s="6">
        <v>25202</v>
      </c>
      <c r="V9" s="2" t="s">
        <v>44</v>
      </c>
      <c r="W9" s="2"/>
      <c r="X9" s="2"/>
    </row>
    <row r="10" spans="1:24" s="13" customFormat="1" ht="108.75" x14ac:dyDescent="0.55000000000000004">
      <c r="A10" s="2">
        <v>5</v>
      </c>
      <c r="B10" s="3" t="s">
        <v>57</v>
      </c>
      <c r="C10" s="11" t="s">
        <v>48</v>
      </c>
      <c r="D10" s="2">
        <v>7</v>
      </c>
      <c r="E10" s="2" t="s">
        <v>35</v>
      </c>
      <c r="F10" s="3" t="s">
        <v>36</v>
      </c>
      <c r="G10" s="3" t="s">
        <v>35</v>
      </c>
      <c r="H10" s="3" t="s">
        <v>55</v>
      </c>
      <c r="I10" s="4">
        <v>3990000</v>
      </c>
      <c r="J10" s="19">
        <f t="shared" si="0"/>
        <v>598500</v>
      </c>
      <c r="K10" s="19">
        <f t="shared" si="1"/>
        <v>199500</v>
      </c>
      <c r="L10" s="19">
        <f t="shared" si="2"/>
        <v>199500</v>
      </c>
      <c r="M10" s="19">
        <f t="shared" si="3"/>
        <v>199500</v>
      </c>
      <c r="N10" s="2" t="s">
        <v>35</v>
      </c>
      <c r="O10" s="2" t="s">
        <v>35</v>
      </c>
      <c r="P10" s="2" t="s">
        <v>35</v>
      </c>
      <c r="Q10" s="2" t="s">
        <v>35</v>
      </c>
      <c r="R10" s="6">
        <v>24859</v>
      </c>
      <c r="S10" s="6">
        <v>25568</v>
      </c>
      <c r="T10" s="6" t="s">
        <v>42</v>
      </c>
      <c r="U10" s="6" t="s">
        <v>42</v>
      </c>
      <c r="V10" s="2" t="s">
        <v>58</v>
      </c>
      <c r="W10" s="28"/>
      <c r="X10" s="28"/>
    </row>
    <row r="11" spans="1:24" s="13" customFormat="1" ht="87" x14ac:dyDescent="0.55000000000000004">
      <c r="A11" s="2">
        <v>6</v>
      </c>
      <c r="B11" s="3" t="s">
        <v>51</v>
      </c>
      <c r="C11" s="2" t="s">
        <v>49</v>
      </c>
      <c r="D11" s="2">
        <v>1</v>
      </c>
      <c r="E11" s="2">
        <v>1</v>
      </c>
      <c r="F11" s="3" t="s">
        <v>52</v>
      </c>
      <c r="G11" s="3" t="s">
        <v>50</v>
      </c>
      <c r="H11" s="2" t="s">
        <v>35</v>
      </c>
      <c r="I11" s="4">
        <v>200000</v>
      </c>
      <c r="J11" s="19">
        <f t="shared" ref="J11" si="4">I11*15%</f>
        <v>30000</v>
      </c>
      <c r="K11" s="19">
        <f t="shared" ref="K11" si="5">J11/3</f>
        <v>10000</v>
      </c>
      <c r="L11" s="19">
        <f t="shared" ref="L11" si="6">J11/3</f>
        <v>10000</v>
      </c>
      <c r="M11" s="19">
        <f t="shared" ref="M11" si="7">J11/3</f>
        <v>10000</v>
      </c>
      <c r="N11" s="2" t="s">
        <v>35</v>
      </c>
      <c r="O11" s="2" t="s">
        <v>35</v>
      </c>
      <c r="P11" s="2" t="s">
        <v>35</v>
      </c>
      <c r="Q11" s="2" t="s">
        <v>35</v>
      </c>
      <c r="R11" s="6">
        <v>24869</v>
      </c>
      <c r="S11" s="6">
        <v>25599</v>
      </c>
      <c r="T11" s="6" t="s">
        <v>42</v>
      </c>
      <c r="U11" s="6" t="s">
        <v>42</v>
      </c>
      <c r="V11" s="29" t="s">
        <v>59</v>
      </c>
      <c r="W11" s="28"/>
      <c r="X11" s="28"/>
    </row>
    <row r="12" spans="1:24" s="13" customFormat="1" ht="108.75" x14ac:dyDescent="0.55000000000000004">
      <c r="A12" s="2">
        <v>7</v>
      </c>
      <c r="B12" s="3" t="s">
        <v>56</v>
      </c>
      <c r="C12" s="11" t="s">
        <v>48</v>
      </c>
      <c r="D12" s="2">
        <v>10</v>
      </c>
      <c r="E12" s="2">
        <v>5</v>
      </c>
      <c r="F12" s="3" t="s">
        <v>36</v>
      </c>
      <c r="G12" s="3" t="s">
        <v>35</v>
      </c>
      <c r="H12" s="3" t="s">
        <v>41</v>
      </c>
      <c r="I12" s="4">
        <v>9000000</v>
      </c>
      <c r="J12" s="19">
        <f t="shared" si="0"/>
        <v>1350000</v>
      </c>
      <c r="K12" s="19">
        <f t="shared" si="1"/>
        <v>450000</v>
      </c>
      <c r="L12" s="19">
        <f t="shared" si="2"/>
        <v>450000</v>
      </c>
      <c r="M12" s="19">
        <f t="shared" si="3"/>
        <v>450000</v>
      </c>
      <c r="N12" s="2" t="s">
        <v>35</v>
      </c>
      <c r="O12" s="2" t="s">
        <v>35</v>
      </c>
      <c r="P12" s="2" t="s">
        <v>35</v>
      </c>
      <c r="Q12" s="2" t="s">
        <v>35</v>
      </c>
      <c r="R12" s="6">
        <v>24839</v>
      </c>
      <c r="S12" s="6">
        <v>25142</v>
      </c>
      <c r="T12" s="6" t="s">
        <v>42</v>
      </c>
      <c r="U12" s="6" t="s">
        <v>42</v>
      </c>
      <c r="V12" s="29" t="s">
        <v>70</v>
      </c>
      <c r="W12" s="28"/>
      <c r="X12" s="28"/>
    </row>
    <row r="13" spans="1:24" s="13" customFormat="1" x14ac:dyDescent="0.55000000000000004">
      <c r="C13" s="14"/>
      <c r="D13" s="14"/>
      <c r="E13" s="14"/>
      <c r="F13" s="15"/>
      <c r="G13" s="12"/>
      <c r="H13" s="12"/>
      <c r="U13" s="14"/>
      <c r="V13" s="1"/>
      <c r="W13" s="1"/>
      <c r="X13" s="1"/>
    </row>
  </sheetData>
  <mergeCells count="29">
    <mergeCell ref="A1:X1"/>
    <mergeCell ref="A2:X2"/>
    <mergeCell ref="A3:A5"/>
    <mergeCell ref="B3:B5"/>
    <mergeCell ref="C3:C5"/>
    <mergeCell ref="D3:E3"/>
    <mergeCell ref="F3:F5"/>
    <mergeCell ref="G3:H3"/>
    <mergeCell ref="I3:I5"/>
    <mergeCell ref="D4:D5"/>
    <mergeCell ref="E4:E5"/>
    <mergeCell ref="G4:G5"/>
    <mergeCell ref="H4:H5"/>
    <mergeCell ref="X3:X5"/>
    <mergeCell ref="J4:J5"/>
    <mergeCell ref="K4:K5"/>
    <mergeCell ref="L4:L5"/>
    <mergeCell ref="M4:M5"/>
    <mergeCell ref="J3:M3"/>
    <mergeCell ref="N3:O3"/>
    <mergeCell ref="N4:N5"/>
    <mergeCell ref="O4:O5"/>
    <mergeCell ref="V3:V5"/>
    <mergeCell ref="W3:W5"/>
    <mergeCell ref="P3:Q3"/>
    <mergeCell ref="R3:S4"/>
    <mergeCell ref="T3:U4"/>
    <mergeCell ref="P4:P5"/>
    <mergeCell ref="Q4:Q5"/>
  </mergeCells>
  <pageMargins left="0.23622047244094491" right="0" top="0.19685039370078741" bottom="0" header="0.19685039370078741" footer="0"/>
  <pageSetup paperSize="9" scale="63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0"/>
  <sheetViews>
    <sheetView zoomScale="80" zoomScaleNormal="80" workbookViewId="0">
      <selection activeCell="A8" sqref="A8:XFD8"/>
    </sheetView>
  </sheetViews>
  <sheetFormatPr defaultColWidth="9" defaultRowHeight="24" x14ac:dyDescent="0.55000000000000004"/>
  <cols>
    <col min="1" max="1" width="4.875" style="1" customWidth="1"/>
    <col min="2" max="2" width="23.375" style="1" customWidth="1"/>
    <col min="3" max="3" width="16.5" style="8" customWidth="1"/>
    <col min="4" max="4" width="6.375" style="8" customWidth="1"/>
    <col min="5" max="5" width="7.375" style="8" customWidth="1"/>
    <col min="6" max="6" width="16" style="9" customWidth="1"/>
    <col min="7" max="7" width="9" style="10" customWidth="1"/>
    <col min="8" max="8" width="14.375" style="10" customWidth="1"/>
    <col min="9" max="9" width="13.875" style="1" customWidth="1"/>
    <col min="10" max="10" width="5.875" style="1" customWidth="1"/>
    <col min="11" max="12" width="5.125" style="1" customWidth="1"/>
    <col min="13" max="13" width="4.375" style="1" customWidth="1"/>
    <col min="14" max="14" width="9.125" style="1" customWidth="1"/>
    <col min="15" max="15" width="8.875" style="1" customWidth="1"/>
    <col min="16" max="16" width="8.625" style="1" customWidth="1"/>
    <col min="17" max="17" width="7.875" style="1" customWidth="1"/>
    <col min="18" max="18" width="10.875" style="1" customWidth="1"/>
    <col min="19" max="19" width="9.25" style="1" customWidth="1"/>
    <col min="20" max="20" width="8.75" style="1" customWidth="1"/>
    <col min="21" max="21" width="9.25" style="8" customWidth="1"/>
    <col min="22" max="22" width="9.375" style="1" customWidth="1"/>
    <col min="23" max="23" width="11.5" style="1" customWidth="1"/>
    <col min="24" max="24" width="7.25" style="1" customWidth="1"/>
    <col min="25" max="25" width="10.375" style="1" bestFit="1" customWidth="1"/>
    <col min="26" max="16384" width="9" style="1"/>
  </cols>
  <sheetData>
    <row r="1" spans="1:24" x14ac:dyDescent="0.55000000000000004">
      <c r="A1" s="44" t="s">
        <v>10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</row>
    <row r="2" spans="1:24" ht="24.75" customHeight="1" x14ac:dyDescent="0.55000000000000004">
      <c r="A2" s="45" t="s">
        <v>60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</row>
    <row r="3" spans="1:24" s="16" customFormat="1" ht="24.75" customHeight="1" x14ac:dyDescent="0.2">
      <c r="A3" s="46" t="s">
        <v>9</v>
      </c>
      <c r="B3" s="49" t="s">
        <v>0</v>
      </c>
      <c r="C3" s="50" t="s">
        <v>13</v>
      </c>
      <c r="D3" s="53" t="s">
        <v>1</v>
      </c>
      <c r="E3" s="50"/>
      <c r="F3" s="54" t="s">
        <v>11</v>
      </c>
      <c r="G3" s="57" t="s">
        <v>2</v>
      </c>
      <c r="H3" s="58"/>
      <c r="I3" s="59" t="s">
        <v>3</v>
      </c>
      <c r="J3" s="62" t="s">
        <v>12</v>
      </c>
      <c r="K3" s="62"/>
      <c r="L3" s="62"/>
      <c r="M3" s="62"/>
      <c r="N3" s="72" t="s">
        <v>21</v>
      </c>
      <c r="O3" s="73"/>
      <c r="P3" s="72" t="s">
        <v>24</v>
      </c>
      <c r="Q3" s="73"/>
      <c r="R3" s="53" t="s">
        <v>4</v>
      </c>
      <c r="S3" s="50"/>
      <c r="T3" s="53" t="s">
        <v>5</v>
      </c>
      <c r="U3" s="50"/>
      <c r="V3" s="69" t="s">
        <v>29</v>
      </c>
      <c r="W3" s="54" t="s">
        <v>18</v>
      </c>
      <c r="X3" s="63" t="s">
        <v>6</v>
      </c>
    </row>
    <row r="4" spans="1:24" s="16" customFormat="1" ht="36" customHeight="1" x14ac:dyDescent="0.2">
      <c r="A4" s="47"/>
      <c r="B4" s="49"/>
      <c r="C4" s="51"/>
      <c r="D4" s="54" t="s">
        <v>22</v>
      </c>
      <c r="E4" s="54" t="s">
        <v>23</v>
      </c>
      <c r="F4" s="55"/>
      <c r="G4" s="54" t="s">
        <v>27</v>
      </c>
      <c r="H4" s="54" t="s">
        <v>28</v>
      </c>
      <c r="I4" s="60"/>
      <c r="J4" s="66" t="s">
        <v>14</v>
      </c>
      <c r="K4" s="66" t="s">
        <v>15</v>
      </c>
      <c r="L4" s="66" t="s">
        <v>16</v>
      </c>
      <c r="M4" s="66" t="s">
        <v>17</v>
      </c>
      <c r="N4" s="70" t="s">
        <v>19</v>
      </c>
      <c r="O4" s="70" t="s">
        <v>20</v>
      </c>
      <c r="P4" s="70" t="s">
        <v>25</v>
      </c>
      <c r="Q4" s="70" t="s">
        <v>26</v>
      </c>
      <c r="R4" s="68"/>
      <c r="S4" s="52"/>
      <c r="T4" s="68"/>
      <c r="U4" s="52"/>
      <c r="V4" s="69"/>
      <c r="W4" s="55"/>
      <c r="X4" s="64"/>
    </row>
    <row r="5" spans="1:24" s="16" customFormat="1" ht="66.75" customHeight="1" x14ac:dyDescent="0.2">
      <c r="A5" s="48"/>
      <c r="B5" s="49"/>
      <c r="C5" s="52"/>
      <c r="D5" s="56"/>
      <c r="E5" s="56"/>
      <c r="F5" s="56"/>
      <c r="G5" s="56"/>
      <c r="H5" s="56"/>
      <c r="I5" s="61"/>
      <c r="J5" s="67"/>
      <c r="K5" s="67"/>
      <c r="L5" s="67"/>
      <c r="M5" s="67"/>
      <c r="N5" s="71"/>
      <c r="O5" s="71"/>
      <c r="P5" s="71"/>
      <c r="Q5" s="71"/>
      <c r="R5" s="17" t="s">
        <v>7</v>
      </c>
      <c r="S5" s="17" t="s">
        <v>8</v>
      </c>
      <c r="T5" s="17" t="s">
        <v>7</v>
      </c>
      <c r="U5" s="17" t="s">
        <v>8</v>
      </c>
      <c r="V5" s="69"/>
      <c r="W5" s="56"/>
      <c r="X5" s="65"/>
    </row>
    <row r="6" spans="1:24" s="13" customFormat="1" ht="87" x14ac:dyDescent="0.55000000000000004">
      <c r="A6" s="2">
        <v>1</v>
      </c>
      <c r="B6" s="3" t="s">
        <v>63</v>
      </c>
      <c r="C6" s="3" t="s">
        <v>37</v>
      </c>
      <c r="D6" s="2">
        <v>13</v>
      </c>
      <c r="E6" s="2">
        <v>2</v>
      </c>
      <c r="F6" s="3" t="s">
        <v>36</v>
      </c>
      <c r="G6" s="3" t="s">
        <v>35</v>
      </c>
      <c r="H6" s="3" t="s">
        <v>64</v>
      </c>
      <c r="I6" s="4">
        <v>18594000</v>
      </c>
      <c r="J6" s="31">
        <f t="shared" ref="J6:J8" si="0">I6*15%</f>
        <v>2789100</v>
      </c>
      <c r="K6" s="31">
        <f t="shared" ref="K6:K8" si="1">J6/3</f>
        <v>929700</v>
      </c>
      <c r="L6" s="31">
        <f t="shared" ref="L6:L8" si="2">J6/3</f>
        <v>929700</v>
      </c>
      <c r="M6" s="31">
        <f t="shared" ref="M6:M8" si="3">J6/3</f>
        <v>929700</v>
      </c>
      <c r="N6" s="3" t="s">
        <v>65</v>
      </c>
      <c r="O6" s="2" t="s">
        <v>35</v>
      </c>
      <c r="P6" s="2" t="s">
        <v>35</v>
      </c>
      <c r="Q6" s="2" t="s">
        <v>35</v>
      </c>
      <c r="R6" s="6">
        <v>24866</v>
      </c>
      <c r="S6" s="6">
        <v>25568</v>
      </c>
      <c r="T6" s="6">
        <v>24871</v>
      </c>
      <c r="U6" s="6">
        <v>25568</v>
      </c>
      <c r="V6" s="29" t="s">
        <v>68</v>
      </c>
      <c r="W6" s="28"/>
      <c r="X6" s="28" t="s">
        <v>129</v>
      </c>
    </row>
    <row r="7" spans="1:24" ht="87" x14ac:dyDescent="0.55000000000000004">
      <c r="A7" s="2">
        <v>2</v>
      </c>
      <c r="B7" s="3" t="s">
        <v>66</v>
      </c>
      <c r="C7" s="3" t="s">
        <v>48</v>
      </c>
      <c r="D7" s="2">
        <v>15</v>
      </c>
      <c r="E7" s="2">
        <v>2</v>
      </c>
      <c r="F7" s="3" t="s">
        <v>36</v>
      </c>
      <c r="G7" s="3" t="s">
        <v>35</v>
      </c>
      <c r="H7" s="3" t="s">
        <v>64</v>
      </c>
      <c r="I7" s="4">
        <v>18340000</v>
      </c>
      <c r="J7" s="31">
        <f t="shared" si="0"/>
        <v>2751000</v>
      </c>
      <c r="K7" s="31">
        <f t="shared" si="1"/>
        <v>917000</v>
      </c>
      <c r="L7" s="31">
        <f t="shared" si="2"/>
        <v>917000</v>
      </c>
      <c r="M7" s="31">
        <f t="shared" si="3"/>
        <v>917000</v>
      </c>
      <c r="N7" s="3" t="s">
        <v>67</v>
      </c>
      <c r="O7" s="2" t="s">
        <v>35</v>
      </c>
      <c r="P7" s="2" t="s">
        <v>35</v>
      </c>
      <c r="Q7" s="2" t="s">
        <v>35</v>
      </c>
      <c r="R7" s="6">
        <v>24866</v>
      </c>
      <c r="S7" s="6">
        <v>25568</v>
      </c>
      <c r="T7" s="6">
        <v>24866</v>
      </c>
      <c r="U7" s="6">
        <v>25568</v>
      </c>
      <c r="V7" s="30" t="s">
        <v>69</v>
      </c>
      <c r="W7" s="28"/>
      <c r="X7" s="28" t="s">
        <v>129</v>
      </c>
    </row>
    <row r="8" spans="1:24" s="13" customFormat="1" ht="87" x14ac:dyDescent="0.55000000000000004">
      <c r="A8" s="2">
        <v>3</v>
      </c>
      <c r="B8" s="3" t="s">
        <v>61</v>
      </c>
      <c r="C8" s="2" t="s">
        <v>49</v>
      </c>
      <c r="D8" s="2">
        <v>1</v>
      </c>
      <c r="E8" s="2">
        <v>1</v>
      </c>
      <c r="F8" s="3" t="s">
        <v>52</v>
      </c>
      <c r="G8" s="3" t="s">
        <v>35</v>
      </c>
      <c r="H8" s="3" t="s">
        <v>62</v>
      </c>
      <c r="I8" s="4">
        <v>100000</v>
      </c>
      <c r="J8" s="31">
        <f t="shared" si="0"/>
        <v>15000</v>
      </c>
      <c r="K8" s="31">
        <f t="shared" si="1"/>
        <v>5000</v>
      </c>
      <c r="L8" s="31">
        <f t="shared" si="2"/>
        <v>5000</v>
      </c>
      <c r="M8" s="31">
        <f t="shared" si="3"/>
        <v>5000</v>
      </c>
      <c r="N8" s="2" t="s">
        <v>35</v>
      </c>
      <c r="O8" s="2" t="s">
        <v>35</v>
      </c>
      <c r="P8" s="2" t="s">
        <v>35</v>
      </c>
      <c r="Q8" s="2" t="s">
        <v>35</v>
      </c>
      <c r="R8" s="6">
        <v>24864</v>
      </c>
      <c r="S8" s="6">
        <v>25203</v>
      </c>
      <c r="T8" s="6" t="s">
        <v>42</v>
      </c>
      <c r="U8" s="6" t="s">
        <v>42</v>
      </c>
      <c r="V8" s="29" t="s">
        <v>71</v>
      </c>
      <c r="W8" s="28"/>
      <c r="X8" s="28"/>
    </row>
    <row r="9" spans="1:24" ht="174" x14ac:dyDescent="0.55000000000000004">
      <c r="A9" s="2">
        <v>4</v>
      </c>
      <c r="B9" s="3" t="s">
        <v>75</v>
      </c>
      <c r="C9" s="3" t="s">
        <v>48</v>
      </c>
      <c r="D9" s="2">
        <v>10</v>
      </c>
      <c r="E9" s="2">
        <v>3</v>
      </c>
      <c r="F9" s="3" t="s">
        <v>36</v>
      </c>
      <c r="G9" s="3" t="s">
        <v>35</v>
      </c>
      <c r="H9" s="3" t="s">
        <v>74</v>
      </c>
      <c r="I9" s="4">
        <v>20000000</v>
      </c>
      <c r="J9" s="31">
        <f t="shared" ref="J9:J10" si="4">I9*15%</f>
        <v>3000000</v>
      </c>
      <c r="K9" s="31">
        <f t="shared" ref="K9:K10" si="5">J9/3</f>
        <v>1000000</v>
      </c>
      <c r="L9" s="31">
        <f t="shared" ref="L9:L10" si="6">J9/3</f>
        <v>1000000</v>
      </c>
      <c r="M9" s="31">
        <f t="shared" ref="M9:M10" si="7">J9/3</f>
        <v>1000000</v>
      </c>
      <c r="N9" s="3" t="s">
        <v>76</v>
      </c>
      <c r="O9" s="2" t="s">
        <v>35</v>
      </c>
      <c r="P9" s="2" t="s">
        <v>35</v>
      </c>
      <c r="Q9" s="2" t="s">
        <v>35</v>
      </c>
      <c r="R9" s="6">
        <v>24885</v>
      </c>
      <c r="S9" s="6">
        <v>25293</v>
      </c>
      <c r="T9" s="6">
        <v>24991</v>
      </c>
      <c r="U9" s="6">
        <v>25142</v>
      </c>
      <c r="V9" s="29" t="s">
        <v>77</v>
      </c>
      <c r="W9" s="28"/>
      <c r="X9" s="28"/>
    </row>
    <row r="10" spans="1:24" ht="108.75" x14ac:dyDescent="0.55000000000000004">
      <c r="A10" s="2">
        <v>5</v>
      </c>
      <c r="B10" s="3" t="s">
        <v>72</v>
      </c>
      <c r="C10" s="2" t="s">
        <v>49</v>
      </c>
      <c r="D10" s="2">
        <v>2</v>
      </c>
      <c r="E10" s="2">
        <v>1</v>
      </c>
      <c r="F10" s="3" t="s">
        <v>52</v>
      </c>
      <c r="G10" s="3" t="s">
        <v>35</v>
      </c>
      <c r="H10" s="3" t="s">
        <v>73</v>
      </c>
      <c r="I10" s="4">
        <v>500000</v>
      </c>
      <c r="J10" s="31">
        <f t="shared" si="4"/>
        <v>75000</v>
      </c>
      <c r="K10" s="31">
        <f t="shared" si="5"/>
        <v>25000</v>
      </c>
      <c r="L10" s="31">
        <f t="shared" si="6"/>
        <v>25000</v>
      </c>
      <c r="M10" s="31">
        <f t="shared" si="7"/>
        <v>25000</v>
      </c>
      <c r="N10" s="2" t="s">
        <v>35</v>
      </c>
      <c r="O10" s="2" t="s">
        <v>35</v>
      </c>
      <c r="P10" s="2" t="s">
        <v>35</v>
      </c>
      <c r="Q10" s="2" t="s">
        <v>35</v>
      </c>
      <c r="R10" s="6">
        <v>24882</v>
      </c>
      <c r="S10" s="6">
        <v>25248</v>
      </c>
      <c r="T10" s="6" t="s">
        <v>42</v>
      </c>
      <c r="U10" s="6" t="s">
        <v>42</v>
      </c>
      <c r="V10" s="29" t="s">
        <v>78</v>
      </c>
      <c r="W10" s="28"/>
      <c r="X10" s="28"/>
    </row>
  </sheetData>
  <mergeCells count="29">
    <mergeCell ref="K4:K5"/>
    <mergeCell ref="L4:L5"/>
    <mergeCell ref="T3:U4"/>
    <mergeCell ref="V3:V5"/>
    <mergeCell ref="W3:W5"/>
    <mergeCell ref="M4:M5"/>
    <mergeCell ref="N4:N5"/>
    <mergeCell ref="N3:O3"/>
    <mergeCell ref="P3:Q3"/>
    <mergeCell ref="R3:S4"/>
    <mergeCell ref="O4:O5"/>
    <mergeCell ref="P4:P5"/>
    <mergeCell ref="Q4:Q5"/>
    <mergeCell ref="A1:X1"/>
    <mergeCell ref="A2:X2"/>
    <mergeCell ref="A3:A5"/>
    <mergeCell ref="B3:B5"/>
    <mergeCell ref="C3:C5"/>
    <mergeCell ref="D3:E3"/>
    <mergeCell ref="F3:F5"/>
    <mergeCell ref="G3:H3"/>
    <mergeCell ref="I3:I5"/>
    <mergeCell ref="J3:M3"/>
    <mergeCell ref="X3:X5"/>
    <mergeCell ref="D4:D5"/>
    <mergeCell ref="E4:E5"/>
    <mergeCell ref="G4:G5"/>
    <mergeCell ref="H4:H5"/>
    <mergeCell ref="J4:J5"/>
  </mergeCells>
  <pageMargins left="0.23622047244094491" right="0" top="0.19685039370078741" bottom="0" header="0.19685039370078741" footer="0"/>
  <pageSetup paperSize="9" scale="63" orientation="landscape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7"/>
  <sheetViews>
    <sheetView zoomScale="80" zoomScaleNormal="80" workbookViewId="0">
      <selection activeCell="G16" sqref="G16"/>
    </sheetView>
  </sheetViews>
  <sheetFormatPr defaultColWidth="9" defaultRowHeight="24" x14ac:dyDescent="0.55000000000000004"/>
  <cols>
    <col min="1" max="1" width="4.875" style="1" customWidth="1"/>
    <col min="2" max="2" width="23.375" style="1" customWidth="1"/>
    <col min="3" max="3" width="19.125" style="8" customWidth="1"/>
    <col min="4" max="4" width="6.375" style="8" customWidth="1"/>
    <col min="5" max="5" width="7.375" style="8" customWidth="1"/>
    <col min="6" max="6" width="15.25" style="9" customWidth="1"/>
    <col min="7" max="7" width="10.75" style="10" customWidth="1"/>
    <col min="8" max="8" width="13.625" style="10" customWidth="1"/>
    <col min="9" max="9" width="12.5" style="1" customWidth="1"/>
    <col min="10" max="10" width="5.875" style="1" customWidth="1"/>
    <col min="11" max="12" width="5.125" style="1" customWidth="1"/>
    <col min="13" max="13" width="4.375" style="1" customWidth="1"/>
    <col min="14" max="14" width="9.125" style="1" customWidth="1"/>
    <col min="15" max="15" width="9.625" style="1" customWidth="1"/>
    <col min="16" max="17" width="8.625" style="1" customWidth="1"/>
    <col min="18" max="18" width="9.75" style="1" customWidth="1"/>
    <col min="19" max="20" width="8" style="1" customWidth="1"/>
    <col min="21" max="21" width="8.625" style="8" customWidth="1"/>
    <col min="22" max="22" width="10.625" style="1" customWidth="1"/>
    <col min="23" max="23" width="11.5" style="1" customWidth="1"/>
    <col min="24" max="24" width="7.25" style="1" customWidth="1"/>
    <col min="25" max="25" width="10.375" style="1" bestFit="1" customWidth="1"/>
    <col min="26" max="16384" width="9" style="1"/>
  </cols>
  <sheetData>
    <row r="1" spans="1:24" x14ac:dyDescent="0.55000000000000004">
      <c r="A1" s="44" t="s">
        <v>10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</row>
    <row r="2" spans="1:24" ht="24.75" customHeight="1" x14ac:dyDescent="0.55000000000000004">
      <c r="A2" s="45" t="s">
        <v>79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</row>
    <row r="3" spans="1:24" s="16" customFormat="1" ht="24.75" customHeight="1" x14ac:dyDescent="0.2">
      <c r="A3" s="46" t="s">
        <v>9</v>
      </c>
      <c r="B3" s="49" t="s">
        <v>0</v>
      </c>
      <c r="C3" s="50" t="s">
        <v>13</v>
      </c>
      <c r="D3" s="53" t="s">
        <v>1</v>
      </c>
      <c r="E3" s="50"/>
      <c r="F3" s="54" t="s">
        <v>11</v>
      </c>
      <c r="G3" s="57" t="s">
        <v>2</v>
      </c>
      <c r="H3" s="58"/>
      <c r="I3" s="59" t="s">
        <v>3</v>
      </c>
      <c r="J3" s="62" t="s">
        <v>12</v>
      </c>
      <c r="K3" s="62"/>
      <c r="L3" s="62"/>
      <c r="M3" s="62"/>
      <c r="N3" s="72" t="s">
        <v>21</v>
      </c>
      <c r="O3" s="73"/>
      <c r="P3" s="72" t="s">
        <v>24</v>
      </c>
      <c r="Q3" s="73"/>
      <c r="R3" s="53" t="s">
        <v>4</v>
      </c>
      <c r="S3" s="50"/>
      <c r="T3" s="53" t="s">
        <v>5</v>
      </c>
      <c r="U3" s="50"/>
      <c r="V3" s="69" t="s">
        <v>29</v>
      </c>
      <c r="W3" s="54" t="s">
        <v>18</v>
      </c>
      <c r="X3" s="63" t="s">
        <v>6</v>
      </c>
    </row>
    <row r="4" spans="1:24" s="16" customFormat="1" ht="36" customHeight="1" x14ac:dyDescent="0.2">
      <c r="A4" s="47"/>
      <c r="B4" s="49"/>
      <c r="C4" s="51"/>
      <c r="D4" s="54" t="s">
        <v>22</v>
      </c>
      <c r="E4" s="54" t="s">
        <v>23</v>
      </c>
      <c r="F4" s="55"/>
      <c r="G4" s="54" t="s">
        <v>27</v>
      </c>
      <c r="H4" s="54" t="s">
        <v>28</v>
      </c>
      <c r="I4" s="60"/>
      <c r="J4" s="66" t="s">
        <v>14</v>
      </c>
      <c r="K4" s="66" t="s">
        <v>15</v>
      </c>
      <c r="L4" s="66" t="s">
        <v>16</v>
      </c>
      <c r="M4" s="66" t="s">
        <v>17</v>
      </c>
      <c r="N4" s="70" t="s">
        <v>19</v>
      </c>
      <c r="O4" s="70" t="s">
        <v>20</v>
      </c>
      <c r="P4" s="70" t="s">
        <v>25</v>
      </c>
      <c r="Q4" s="70" t="s">
        <v>26</v>
      </c>
      <c r="R4" s="68"/>
      <c r="S4" s="52"/>
      <c r="T4" s="68"/>
      <c r="U4" s="52"/>
      <c r="V4" s="69"/>
      <c r="W4" s="55"/>
      <c r="X4" s="64"/>
    </row>
    <row r="5" spans="1:24" s="16" customFormat="1" ht="66.75" customHeight="1" x14ac:dyDescent="0.2">
      <c r="A5" s="48"/>
      <c r="B5" s="49"/>
      <c r="C5" s="52"/>
      <c r="D5" s="56"/>
      <c r="E5" s="56"/>
      <c r="F5" s="56"/>
      <c r="G5" s="56"/>
      <c r="H5" s="56"/>
      <c r="I5" s="61"/>
      <c r="J5" s="67"/>
      <c r="K5" s="67"/>
      <c r="L5" s="67"/>
      <c r="M5" s="67"/>
      <c r="N5" s="71"/>
      <c r="O5" s="71"/>
      <c r="P5" s="71"/>
      <c r="Q5" s="71"/>
      <c r="R5" s="17" t="s">
        <v>7</v>
      </c>
      <c r="S5" s="17" t="s">
        <v>8</v>
      </c>
      <c r="T5" s="17" t="s">
        <v>7</v>
      </c>
      <c r="U5" s="17" t="s">
        <v>8</v>
      </c>
      <c r="V5" s="69"/>
      <c r="W5" s="56"/>
      <c r="X5" s="65"/>
    </row>
    <row r="6" spans="1:24" s="13" customFormat="1" ht="87" x14ac:dyDescent="0.55000000000000004">
      <c r="A6" s="2">
        <v>1</v>
      </c>
      <c r="B6" s="3" t="s">
        <v>80</v>
      </c>
      <c r="C6" s="3" t="s">
        <v>90</v>
      </c>
      <c r="D6" s="2">
        <v>2</v>
      </c>
      <c r="E6" s="2" t="s">
        <v>35</v>
      </c>
      <c r="F6" s="3" t="s">
        <v>81</v>
      </c>
      <c r="G6" s="3" t="s">
        <v>82</v>
      </c>
      <c r="H6" s="3" t="s">
        <v>35</v>
      </c>
      <c r="I6" s="4">
        <v>21600</v>
      </c>
      <c r="J6" s="19">
        <f>I6*15%</f>
        <v>3240</v>
      </c>
      <c r="K6" s="19">
        <f>J6/3</f>
        <v>1080</v>
      </c>
      <c r="L6" s="19">
        <f>J6/3</f>
        <v>1080</v>
      </c>
      <c r="M6" s="19">
        <f>J6/3</f>
        <v>1080</v>
      </c>
      <c r="N6" s="3" t="s">
        <v>35</v>
      </c>
      <c r="O6" s="2" t="s">
        <v>35</v>
      </c>
      <c r="P6" s="2" t="s">
        <v>35</v>
      </c>
      <c r="Q6" s="2" t="s">
        <v>35</v>
      </c>
      <c r="R6" s="6">
        <v>24912</v>
      </c>
      <c r="S6" s="6">
        <v>25262</v>
      </c>
      <c r="T6" s="6" t="s">
        <v>42</v>
      </c>
      <c r="U6" s="6" t="s">
        <v>42</v>
      </c>
      <c r="V6" s="30" t="s">
        <v>83</v>
      </c>
      <c r="W6" s="28"/>
      <c r="X6" s="28"/>
    </row>
    <row r="7" spans="1:24" ht="47.25" x14ac:dyDescent="0.55000000000000004">
      <c r="A7" s="2">
        <v>2</v>
      </c>
      <c r="B7" s="3" t="s">
        <v>84</v>
      </c>
      <c r="C7" s="3" t="s">
        <v>85</v>
      </c>
      <c r="D7" s="2" t="s">
        <v>35</v>
      </c>
      <c r="E7" s="2" t="s">
        <v>35</v>
      </c>
      <c r="F7" s="3" t="s">
        <v>86</v>
      </c>
      <c r="G7" s="3" t="s">
        <v>87</v>
      </c>
      <c r="H7" s="3" t="s">
        <v>35</v>
      </c>
      <c r="I7" s="4">
        <v>32000</v>
      </c>
      <c r="J7" s="19">
        <f>I7*15%</f>
        <v>4800</v>
      </c>
      <c r="K7" s="19">
        <f>J7/3</f>
        <v>1600</v>
      </c>
      <c r="L7" s="19">
        <f>J7/3</f>
        <v>1600</v>
      </c>
      <c r="M7" s="19">
        <f>J7/3</f>
        <v>1600</v>
      </c>
      <c r="N7" s="3" t="s">
        <v>35</v>
      </c>
      <c r="O7" s="2" t="s">
        <v>35</v>
      </c>
      <c r="P7" s="2" t="s">
        <v>35</v>
      </c>
      <c r="Q7" s="2" t="s">
        <v>35</v>
      </c>
      <c r="R7" s="6">
        <v>24925</v>
      </c>
      <c r="S7" s="6">
        <v>25289</v>
      </c>
      <c r="T7" s="6" t="s">
        <v>42</v>
      </c>
      <c r="U7" s="6" t="s">
        <v>42</v>
      </c>
      <c r="V7" s="30" t="s">
        <v>92</v>
      </c>
      <c r="W7" s="28"/>
      <c r="X7" s="28"/>
    </row>
  </sheetData>
  <mergeCells count="29">
    <mergeCell ref="A1:X1"/>
    <mergeCell ref="A2:X2"/>
    <mergeCell ref="A3:A5"/>
    <mergeCell ref="B3:B5"/>
    <mergeCell ref="C3:C5"/>
    <mergeCell ref="D3:E3"/>
    <mergeCell ref="F3:F5"/>
    <mergeCell ref="G3:H3"/>
    <mergeCell ref="I3:I5"/>
    <mergeCell ref="J3:M3"/>
    <mergeCell ref="X3:X5"/>
    <mergeCell ref="D4:D5"/>
    <mergeCell ref="E4:E5"/>
    <mergeCell ref="G4:G5"/>
    <mergeCell ref="H4:H5"/>
    <mergeCell ref="J4:J5"/>
    <mergeCell ref="K4:K5"/>
    <mergeCell ref="L4:L5"/>
    <mergeCell ref="T3:U4"/>
    <mergeCell ref="V3:V5"/>
    <mergeCell ref="W3:W5"/>
    <mergeCell ref="M4:M5"/>
    <mergeCell ref="N4:N5"/>
    <mergeCell ref="N3:O3"/>
    <mergeCell ref="P3:Q3"/>
    <mergeCell ref="R3:S4"/>
    <mergeCell ref="O4:O5"/>
    <mergeCell ref="P4:P5"/>
    <mergeCell ref="Q4:Q5"/>
  </mergeCells>
  <pageMargins left="0.23622047244094491" right="0" top="0.19685039370078741" bottom="0" header="0.19685039370078741" footer="0"/>
  <pageSetup paperSize="9" scale="63" orientation="landscape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0F138-4CBC-42E2-BD44-53BA057C717B}">
  <dimension ref="A1:X6"/>
  <sheetViews>
    <sheetView zoomScale="90" zoomScaleNormal="90" workbookViewId="0">
      <selection activeCell="K13" sqref="K13"/>
    </sheetView>
  </sheetViews>
  <sheetFormatPr defaultColWidth="9" defaultRowHeight="24" x14ac:dyDescent="0.55000000000000004"/>
  <cols>
    <col min="1" max="1" width="4.875" style="1" customWidth="1"/>
    <col min="2" max="2" width="23.375" style="1" customWidth="1"/>
    <col min="3" max="3" width="19.125" style="8" customWidth="1"/>
    <col min="4" max="4" width="6.375" style="8" customWidth="1"/>
    <col min="5" max="5" width="7.375" style="8" customWidth="1"/>
    <col min="6" max="6" width="15.25" style="9" customWidth="1"/>
    <col min="7" max="7" width="10.75" style="10" customWidth="1"/>
    <col min="8" max="8" width="13.625" style="10" customWidth="1"/>
    <col min="9" max="9" width="12.5" style="1" customWidth="1"/>
    <col min="10" max="10" width="5.875" style="1" customWidth="1"/>
    <col min="11" max="12" width="5.125" style="1" customWidth="1"/>
    <col min="13" max="13" width="4.375" style="1" customWidth="1"/>
    <col min="14" max="14" width="9.125" style="1" customWidth="1"/>
    <col min="15" max="15" width="9.625" style="1" customWidth="1"/>
    <col min="16" max="17" width="8.625" style="1" customWidth="1"/>
    <col min="18" max="18" width="9.75" style="1" customWidth="1"/>
    <col min="19" max="20" width="8" style="1" customWidth="1"/>
    <col min="21" max="21" width="8.625" style="8" customWidth="1"/>
    <col min="22" max="22" width="10.625" style="1" customWidth="1"/>
    <col min="23" max="23" width="11.5" style="1" customWidth="1"/>
    <col min="24" max="24" width="7.25" style="1" customWidth="1"/>
    <col min="25" max="25" width="10.375" style="1" bestFit="1" customWidth="1"/>
    <col min="26" max="16384" width="9" style="1"/>
  </cols>
  <sheetData>
    <row r="1" spans="1:24" x14ac:dyDescent="0.55000000000000004">
      <c r="A1" s="44" t="s">
        <v>10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</row>
    <row r="2" spans="1:24" ht="24.75" customHeight="1" x14ac:dyDescent="0.55000000000000004">
      <c r="A2" s="45" t="s">
        <v>112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</row>
    <row r="3" spans="1:24" s="16" customFormat="1" ht="24.75" customHeight="1" x14ac:dyDescent="0.2">
      <c r="A3" s="46" t="s">
        <v>9</v>
      </c>
      <c r="B3" s="49" t="s">
        <v>0</v>
      </c>
      <c r="C3" s="50" t="s">
        <v>13</v>
      </c>
      <c r="D3" s="53" t="s">
        <v>1</v>
      </c>
      <c r="E3" s="50"/>
      <c r="F3" s="54" t="s">
        <v>11</v>
      </c>
      <c r="G3" s="57" t="s">
        <v>2</v>
      </c>
      <c r="H3" s="58"/>
      <c r="I3" s="59" t="s">
        <v>3</v>
      </c>
      <c r="J3" s="62" t="s">
        <v>12</v>
      </c>
      <c r="K3" s="62"/>
      <c r="L3" s="62"/>
      <c r="M3" s="62"/>
      <c r="N3" s="72" t="s">
        <v>21</v>
      </c>
      <c r="O3" s="73"/>
      <c r="P3" s="72" t="s">
        <v>24</v>
      </c>
      <c r="Q3" s="73"/>
      <c r="R3" s="53" t="s">
        <v>4</v>
      </c>
      <c r="S3" s="50"/>
      <c r="T3" s="53" t="s">
        <v>5</v>
      </c>
      <c r="U3" s="50"/>
      <c r="V3" s="69" t="s">
        <v>29</v>
      </c>
      <c r="W3" s="54" t="s">
        <v>18</v>
      </c>
      <c r="X3" s="63" t="s">
        <v>6</v>
      </c>
    </row>
    <row r="4" spans="1:24" s="16" customFormat="1" ht="36" customHeight="1" x14ac:dyDescent="0.2">
      <c r="A4" s="47"/>
      <c r="B4" s="49"/>
      <c r="C4" s="51"/>
      <c r="D4" s="54" t="s">
        <v>22</v>
      </c>
      <c r="E4" s="54" t="s">
        <v>23</v>
      </c>
      <c r="F4" s="55"/>
      <c r="G4" s="54" t="s">
        <v>27</v>
      </c>
      <c r="H4" s="54" t="s">
        <v>28</v>
      </c>
      <c r="I4" s="60"/>
      <c r="J4" s="66" t="s">
        <v>14</v>
      </c>
      <c r="K4" s="66" t="s">
        <v>15</v>
      </c>
      <c r="L4" s="66" t="s">
        <v>16</v>
      </c>
      <c r="M4" s="66" t="s">
        <v>17</v>
      </c>
      <c r="N4" s="70" t="s">
        <v>19</v>
      </c>
      <c r="O4" s="70" t="s">
        <v>20</v>
      </c>
      <c r="P4" s="70" t="s">
        <v>25</v>
      </c>
      <c r="Q4" s="70" t="s">
        <v>26</v>
      </c>
      <c r="R4" s="68"/>
      <c r="S4" s="52"/>
      <c r="T4" s="68"/>
      <c r="U4" s="52"/>
      <c r="V4" s="69"/>
      <c r="W4" s="55"/>
      <c r="X4" s="64"/>
    </row>
    <row r="5" spans="1:24" s="16" customFormat="1" ht="66.75" customHeight="1" x14ac:dyDescent="0.2">
      <c r="A5" s="48"/>
      <c r="B5" s="49"/>
      <c r="C5" s="52"/>
      <c r="D5" s="56"/>
      <c r="E5" s="56"/>
      <c r="F5" s="56"/>
      <c r="G5" s="56"/>
      <c r="H5" s="56"/>
      <c r="I5" s="61"/>
      <c r="J5" s="67"/>
      <c r="K5" s="67"/>
      <c r="L5" s="67"/>
      <c r="M5" s="67"/>
      <c r="N5" s="71"/>
      <c r="O5" s="71"/>
      <c r="P5" s="71"/>
      <c r="Q5" s="71"/>
      <c r="R5" s="17" t="s">
        <v>7</v>
      </c>
      <c r="S5" s="17" t="s">
        <v>8</v>
      </c>
      <c r="T5" s="17" t="s">
        <v>7</v>
      </c>
      <c r="U5" s="17" t="s">
        <v>8</v>
      </c>
      <c r="V5" s="69"/>
      <c r="W5" s="56"/>
      <c r="X5" s="65"/>
    </row>
    <row r="6" spans="1:24" s="13" customFormat="1" ht="65.25" x14ac:dyDescent="0.55000000000000004">
      <c r="A6" s="2">
        <v>1</v>
      </c>
      <c r="B6" s="3" t="s">
        <v>88</v>
      </c>
      <c r="C6" s="2" t="s">
        <v>89</v>
      </c>
      <c r="D6" s="2">
        <v>20</v>
      </c>
      <c r="E6" s="2">
        <v>3</v>
      </c>
      <c r="F6" s="3" t="s">
        <v>91</v>
      </c>
      <c r="G6" s="3" t="s">
        <v>35</v>
      </c>
      <c r="H6" s="3" t="s">
        <v>100</v>
      </c>
      <c r="I6" s="4">
        <v>1358823.53</v>
      </c>
      <c r="J6" s="19">
        <f>I6*15%</f>
        <v>203823.5295</v>
      </c>
      <c r="K6" s="19">
        <f>J6/3</f>
        <v>67941.176500000001</v>
      </c>
      <c r="L6" s="19">
        <f>J6/3</f>
        <v>67941.176500000001</v>
      </c>
      <c r="M6" s="19">
        <f>J6/3</f>
        <v>67941.176500000001</v>
      </c>
      <c r="N6" s="3" t="s">
        <v>35</v>
      </c>
      <c r="O6" s="2" t="s">
        <v>35</v>
      </c>
      <c r="P6" s="2" t="s">
        <v>35</v>
      </c>
      <c r="Q6" s="2" t="s">
        <v>35</v>
      </c>
      <c r="R6" s="6">
        <v>24932</v>
      </c>
      <c r="S6" s="6">
        <v>25513</v>
      </c>
      <c r="T6" s="6" t="s">
        <v>42</v>
      </c>
      <c r="U6" s="6" t="s">
        <v>42</v>
      </c>
      <c r="V6" s="29" t="s">
        <v>93</v>
      </c>
      <c r="W6" s="28"/>
      <c r="X6" s="28"/>
    </row>
  </sheetData>
  <mergeCells count="29">
    <mergeCell ref="A1:X1"/>
    <mergeCell ref="A2:X2"/>
    <mergeCell ref="A3:A5"/>
    <mergeCell ref="B3:B5"/>
    <mergeCell ref="C3:C5"/>
    <mergeCell ref="D3:E3"/>
    <mergeCell ref="F3:F5"/>
    <mergeCell ref="G3:H3"/>
    <mergeCell ref="I3:I5"/>
    <mergeCell ref="J3:M3"/>
    <mergeCell ref="X3:X5"/>
    <mergeCell ref="D4:D5"/>
    <mergeCell ref="E4:E5"/>
    <mergeCell ref="G4:G5"/>
    <mergeCell ref="H4:H5"/>
    <mergeCell ref="J4:J5"/>
    <mergeCell ref="K4:K5"/>
    <mergeCell ref="L4:L5"/>
    <mergeCell ref="T3:U4"/>
    <mergeCell ref="V3:V5"/>
    <mergeCell ref="W3:W5"/>
    <mergeCell ref="M4:M5"/>
    <mergeCell ref="N4:N5"/>
    <mergeCell ref="N3:O3"/>
    <mergeCell ref="P3:Q3"/>
    <mergeCell ref="R3:S4"/>
    <mergeCell ref="O4:O5"/>
    <mergeCell ref="P4:P5"/>
    <mergeCell ref="Q4:Q5"/>
  </mergeCells>
  <pageMargins left="0.23622047244094491" right="0" top="0.19685039370078741" bottom="0" header="0.19685039370078741" footer="0"/>
  <pageSetup paperSize="9" scale="63" orientation="landscape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38EB6-06FF-40AA-B36A-5C82C7F8730F}">
  <dimension ref="A1:X8"/>
  <sheetViews>
    <sheetView zoomScale="90" zoomScaleNormal="90" workbookViewId="0">
      <selection activeCell="H10" sqref="H10"/>
    </sheetView>
  </sheetViews>
  <sheetFormatPr defaultColWidth="9" defaultRowHeight="24" x14ac:dyDescent="0.55000000000000004"/>
  <cols>
    <col min="1" max="1" width="4.875" style="1" customWidth="1"/>
    <col min="2" max="2" width="24.25" style="1" customWidth="1"/>
    <col min="3" max="3" width="19.125" style="8" customWidth="1"/>
    <col min="4" max="4" width="6.375" style="8" customWidth="1"/>
    <col min="5" max="5" width="7.375" style="8" customWidth="1"/>
    <col min="6" max="6" width="15.25" style="9" customWidth="1"/>
    <col min="7" max="7" width="10.75" style="10" customWidth="1"/>
    <col min="8" max="8" width="13.625" style="10" customWidth="1"/>
    <col min="9" max="9" width="11.625" style="1" customWidth="1"/>
    <col min="10" max="10" width="5.875" style="1" customWidth="1"/>
    <col min="11" max="12" width="5.125" style="1" customWidth="1"/>
    <col min="13" max="13" width="4.375" style="1" customWidth="1"/>
    <col min="14" max="14" width="9.125" style="1" customWidth="1"/>
    <col min="15" max="15" width="9.625" style="1" customWidth="1"/>
    <col min="16" max="17" width="8.625" style="1" customWidth="1"/>
    <col min="18" max="18" width="9.75" style="1" customWidth="1"/>
    <col min="19" max="20" width="8" style="1" customWidth="1"/>
    <col min="21" max="21" width="8.625" style="8" customWidth="1"/>
    <col min="22" max="22" width="10.625" style="1" customWidth="1"/>
    <col min="23" max="23" width="11.5" style="1" customWidth="1"/>
    <col min="24" max="24" width="7.25" style="1" customWidth="1"/>
    <col min="25" max="25" width="10.375" style="1" bestFit="1" customWidth="1"/>
    <col min="26" max="16384" width="9" style="1"/>
  </cols>
  <sheetData>
    <row r="1" spans="1:24" x14ac:dyDescent="0.55000000000000004">
      <c r="A1" s="44" t="s">
        <v>10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</row>
    <row r="2" spans="1:24" ht="24.75" customHeight="1" x14ac:dyDescent="0.55000000000000004">
      <c r="A2" s="45" t="s">
        <v>94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</row>
    <row r="3" spans="1:24" s="16" customFormat="1" ht="24.75" customHeight="1" x14ac:dyDescent="0.2">
      <c r="A3" s="46" t="s">
        <v>9</v>
      </c>
      <c r="B3" s="49" t="s">
        <v>0</v>
      </c>
      <c r="C3" s="50" t="s">
        <v>13</v>
      </c>
      <c r="D3" s="53" t="s">
        <v>1</v>
      </c>
      <c r="E3" s="50"/>
      <c r="F3" s="54" t="s">
        <v>11</v>
      </c>
      <c r="G3" s="57" t="s">
        <v>2</v>
      </c>
      <c r="H3" s="58"/>
      <c r="I3" s="59" t="s">
        <v>3</v>
      </c>
      <c r="J3" s="62" t="s">
        <v>12</v>
      </c>
      <c r="K3" s="62"/>
      <c r="L3" s="62"/>
      <c r="M3" s="62"/>
      <c r="N3" s="72" t="s">
        <v>21</v>
      </c>
      <c r="O3" s="73"/>
      <c r="P3" s="72" t="s">
        <v>24</v>
      </c>
      <c r="Q3" s="73"/>
      <c r="R3" s="53" t="s">
        <v>4</v>
      </c>
      <c r="S3" s="50"/>
      <c r="T3" s="53" t="s">
        <v>5</v>
      </c>
      <c r="U3" s="50"/>
      <c r="V3" s="69" t="s">
        <v>29</v>
      </c>
      <c r="W3" s="54" t="s">
        <v>18</v>
      </c>
      <c r="X3" s="63" t="s">
        <v>6</v>
      </c>
    </row>
    <row r="4" spans="1:24" s="16" customFormat="1" ht="36" customHeight="1" x14ac:dyDescent="0.2">
      <c r="A4" s="47"/>
      <c r="B4" s="49"/>
      <c r="C4" s="51"/>
      <c r="D4" s="54" t="s">
        <v>22</v>
      </c>
      <c r="E4" s="54" t="s">
        <v>23</v>
      </c>
      <c r="F4" s="55"/>
      <c r="G4" s="54" t="s">
        <v>27</v>
      </c>
      <c r="H4" s="54" t="s">
        <v>28</v>
      </c>
      <c r="I4" s="60"/>
      <c r="J4" s="66" t="s">
        <v>14</v>
      </c>
      <c r="K4" s="66" t="s">
        <v>15</v>
      </c>
      <c r="L4" s="66" t="s">
        <v>16</v>
      </c>
      <c r="M4" s="66" t="s">
        <v>17</v>
      </c>
      <c r="N4" s="70" t="s">
        <v>19</v>
      </c>
      <c r="O4" s="70" t="s">
        <v>20</v>
      </c>
      <c r="P4" s="70" t="s">
        <v>25</v>
      </c>
      <c r="Q4" s="70" t="s">
        <v>26</v>
      </c>
      <c r="R4" s="68"/>
      <c r="S4" s="52"/>
      <c r="T4" s="68"/>
      <c r="U4" s="52"/>
      <c r="V4" s="69"/>
      <c r="W4" s="55"/>
      <c r="X4" s="64"/>
    </row>
    <row r="5" spans="1:24" s="16" customFormat="1" ht="66.75" customHeight="1" x14ac:dyDescent="0.2">
      <c r="A5" s="48"/>
      <c r="B5" s="49"/>
      <c r="C5" s="52"/>
      <c r="D5" s="56"/>
      <c r="E5" s="56"/>
      <c r="F5" s="56"/>
      <c r="G5" s="56"/>
      <c r="H5" s="56"/>
      <c r="I5" s="61"/>
      <c r="J5" s="67"/>
      <c r="K5" s="67"/>
      <c r="L5" s="67"/>
      <c r="M5" s="67"/>
      <c r="N5" s="71"/>
      <c r="O5" s="71"/>
      <c r="P5" s="71"/>
      <c r="Q5" s="71"/>
      <c r="R5" s="17" t="s">
        <v>7</v>
      </c>
      <c r="S5" s="17" t="s">
        <v>8</v>
      </c>
      <c r="T5" s="17" t="s">
        <v>7</v>
      </c>
      <c r="U5" s="17" t="s">
        <v>8</v>
      </c>
      <c r="V5" s="69"/>
      <c r="W5" s="56"/>
      <c r="X5" s="65"/>
    </row>
    <row r="6" spans="1:24" s="13" customFormat="1" ht="108.75" x14ac:dyDescent="0.55000000000000004">
      <c r="A6" s="2">
        <v>1</v>
      </c>
      <c r="B6" s="3" t="s">
        <v>95</v>
      </c>
      <c r="C6" s="2" t="s">
        <v>97</v>
      </c>
      <c r="D6" s="2">
        <v>8</v>
      </c>
      <c r="E6" s="2">
        <v>1</v>
      </c>
      <c r="F6" s="3" t="s">
        <v>36</v>
      </c>
      <c r="G6" s="3" t="s">
        <v>35</v>
      </c>
      <c r="H6" s="3" t="s">
        <v>96</v>
      </c>
      <c r="I6" s="4">
        <v>6793588</v>
      </c>
      <c r="J6" s="31">
        <f>I6*15%</f>
        <v>1019038.2</v>
      </c>
      <c r="K6" s="31">
        <f>J6/3</f>
        <v>339679.39999999997</v>
      </c>
      <c r="L6" s="31">
        <f>J6/3</f>
        <v>339679.39999999997</v>
      </c>
      <c r="M6" s="31">
        <f>J6/3</f>
        <v>339679.39999999997</v>
      </c>
      <c r="N6" s="3" t="s">
        <v>98</v>
      </c>
      <c r="O6" s="2" t="s">
        <v>35</v>
      </c>
      <c r="P6" s="2" t="s">
        <v>35</v>
      </c>
      <c r="Q6" s="2" t="s">
        <v>35</v>
      </c>
      <c r="R6" s="6">
        <v>24900</v>
      </c>
      <c r="S6" s="6">
        <v>46081</v>
      </c>
      <c r="T6" s="6">
        <v>24900</v>
      </c>
      <c r="U6" s="6">
        <v>46081</v>
      </c>
      <c r="V6" s="2" t="s">
        <v>113</v>
      </c>
      <c r="W6" s="28"/>
      <c r="X6" s="30" t="s">
        <v>99</v>
      </c>
    </row>
    <row r="7" spans="1:24" ht="108.75" x14ac:dyDescent="0.55000000000000004">
      <c r="A7" s="2">
        <v>2</v>
      </c>
      <c r="B7" s="3" t="s">
        <v>103</v>
      </c>
      <c r="C7" s="2" t="s">
        <v>104</v>
      </c>
      <c r="D7" s="2">
        <v>1</v>
      </c>
      <c r="E7" s="2" t="s">
        <v>35</v>
      </c>
      <c r="F7" s="3" t="s">
        <v>102</v>
      </c>
      <c r="G7" s="3" t="s">
        <v>35</v>
      </c>
      <c r="H7" s="3" t="s">
        <v>101</v>
      </c>
      <c r="I7" s="4">
        <v>50600</v>
      </c>
      <c r="J7" s="31">
        <f>I7*15%</f>
        <v>7590</v>
      </c>
      <c r="K7" s="31">
        <f>J7/3</f>
        <v>2530</v>
      </c>
      <c r="L7" s="31">
        <f>J7/3</f>
        <v>2530</v>
      </c>
      <c r="M7" s="31">
        <f>J7/3</f>
        <v>2530</v>
      </c>
      <c r="N7" s="3" t="s">
        <v>105</v>
      </c>
      <c r="O7" s="2" t="s">
        <v>35</v>
      </c>
      <c r="P7" s="2" t="s">
        <v>35</v>
      </c>
      <c r="Q7" s="2" t="s">
        <v>35</v>
      </c>
      <c r="R7" s="6">
        <v>24929</v>
      </c>
      <c r="S7" s="6">
        <v>25111</v>
      </c>
      <c r="T7" s="6">
        <v>25012</v>
      </c>
      <c r="U7" s="6">
        <v>25275</v>
      </c>
      <c r="V7" s="33" t="s">
        <v>106</v>
      </c>
      <c r="W7" s="28"/>
      <c r="X7" s="28"/>
    </row>
    <row r="8" spans="1:24" s="13" customFormat="1" ht="87" x14ac:dyDescent="0.5">
      <c r="A8" s="2">
        <v>3</v>
      </c>
      <c r="B8" s="3" t="s">
        <v>107</v>
      </c>
      <c r="C8" s="2" t="s">
        <v>108</v>
      </c>
      <c r="D8" s="2">
        <v>2</v>
      </c>
      <c r="E8" s="2" t="s">
        <v>35</v>
      </c>
      <c r="F8" s="3" t="s">
        <v>109</v>
      </c>
      <c r="G8" s="3" t="s">
        <v>110</v>
      </c>
      <c r="H8" s="3" t="s">
        <v>35</v>
      </c>
      <c r="I8" s="4">
        <v>63529.41</v>
      </c>
      <c r="J8" s="31">
        <f>I8*15%</f>
        <v>9529.4115000000002</v>
      </c>
      <c r="K8" s="31">
        <f>J8/3</f>
        <v>3176.4704999999999</v>
      </c>
      <c r="L8" s="31">
        <f>J8/3</f>
        <v>3176.4704999999999</v>
      </c>
      <c r="M8" s="31">
        <f>J8/3</f>
        <v>3176.4704999999999</v>
      </c>
      <c r="N8" s="2" t="s">
        <v>35</v>
      </c>
      <c r="O8" s="2" t="s">
        <v>35</v>
      </c>
      <c r="P8" s="2" t="s">
        <v>35</v>
      </c>
      <c r="Q8" s="2" t="s">
        <v>35</v>
      </c>
      <c r="R8" s="6">
        <v>24973</v>
      </c>
      <c r="S8" s="6">
        <v>25293</v>
      </c>
      <c r="T8" s="6" t="s">
        <v>35</v>
      </c>
      <c r="U8" s="6" t="s">
        <v>35</v>
      </c>
      <c r="V8" s="2" t="s">
        <v>111</v>
      </c>
      <c r="W8" s="32"/>
      <c r="X8" s="32"/>
    </row>
  </sheetData>
  <mergeCells count="29">
    <mergeCell ref="K4:K5"/>
    <mergeCell ref="L4:L5"/>
    <mergeCell ref="T3:U4"/>
    <mergeCell ref="V3:V5"/>
    <mergeCell ref="W3:W5"/>
    <mergeCell ref="M4:M5"/>
    <mergeCell ref="N4:N5"/>
    <mergeCell ref="N3:O3"/>
    <mergeCell ref="P3:Q3"/>
    <mergeCell ref="R3:S4"/>
    <mergeCell ref="O4:O5"/>
    <mergeCell ref="P4:P5"/>
    <mergeCell ref="Q4:Q5"/>
    <mergeCell ref="A1:X1"/>
    <mergeCell ref="A2:X2"/>
    <mergeCell ref="A3:A5"/>
    <mergeCell ref="B3:B5"/>
    <mergeCell ref="C3:C5"/>
    <mergeCell ref="D3:E3"/>
    <mergeCell ref="F3:F5"/>
    <mergeCell ref="G3:H3"/>
    <mergeCell ref="I3:I5"/>
    <mergeCell ref="J3:M3"/>
    <mergeCell ref="X3:X5"/>
    <mergeCell ref="D4:D5"/>
    <mergeCell ref="E4:E5"/>
    <mergeCell ref="G4:G5"/>
    <mergeCell ref="H4:H5"/>
    <mergeCell ref="J4:J5"/>
  </mergeCells>
  <pageMargins left="0.23622047244094491" right="0" top="0.19685039370078741" bottom="0" header="0.19685039370078741" footer="0"/>
  <pageSetup paperSize="9" scale="63" orientation="landscape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A35DF-34C6-4C96-9A4F-D1DACDA39C90}">
  <dimension ref="A1:X8"/>
  <sheetViews>
    <sheetView zoomScale="90" zoomScaleNormal="90" workbookViewId="0">
      <selection activeCell="G15" sqref="G15"/>
    </sheetView>
  </sheetViews>
  <sheetFormatPr defaultColWidth="9" defaultRowHeight="24" x14ac:dyDescent="0.55000000000000004"/>
  <cols>
    <col min="1" max="1" width="4.875" style="1" customWidth="1"/>
    <col min="2" max="2" width="23.375" style="1" customWidth="1"/>
    <col min="3" max="3" width="19.125" style="8" customWidth="1"/>
    <col min="4" max="4" width="6.375" style="8" customWidth="1"/>
    <col min="5" max="5" width="7.375" style="8" customWidth="1"/>
    <col min="6" max="6" width="15.25" style="9" customWidth="1"/>
    <col min="7" max="7" width="10.75" style="10" customWidth="1"/>
    <col min="8" max="8" width="13.625" style="10" customWidth="1"/>
    <col min="9" max="9" width="12.5" style="1" customWidth="1"/>
    <col min="10" max="10" width="5.875" style="1" customWidth="1"/>
    <col min="11" max="12" width="5.125" style="1" customWidth="1"/>
    <col min="13" max="13" width="4.375" style="1" customWidth="1"/>
    <col min="14" max="14" width="9.125" style="1" customWidth="1"/>
    <col min="15" max="15" width="9.625" style="1" customWidth="1"/>
    <col min="16" max="17" width="8.625" style="1" customWidth="1"/>
    <col min="18" max="18" width="9.75" style="1" customWidth="1"/>
    <col min="19" max="19" width="8.875" style="1" customWidth="1"/>
    <col min="20" max="20" width="8" style="1" customWidth="1"/>
    <col min="21" max="21" width="8.625" style="8" customWidth="1"/>
    <col min="22" max="22" width="10.625" style="1" customWidth="1"/>
    <col min="23" max="23" width="9.125" style="1" customWidth="1"/>
    <col min="24" max="24" width="7.25" style="1" customWidth="1"/>
    <col min="25" max="25" width="10.375" style="1" bestFit="1" customWidth="1"/>
    <col min="26" max="16384" width="9" style="1"/>
  </cols>
  <sheetData>
    <row r="1" spans="1:24" x14ac:dyDescent="0.55000000000000004">
      <c r="A1" s="44" t="s">
        <v>10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</row>
    <row r="2" spans="1:24" ht="24.75" customHeight="1" x14ac:dyDescent="0.55000000000000004">
      <c r="A2" s="45" t="s">
        <v>122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</row>
    <row r="3" spans="1:24" s="16" customFormat="1" ht="24.75" customHeight="1" x14ac:dyDescent="0.2">
      <c r="A3" s="46" t="s">
        <v>9</v>
      </c>
      <c r="B3" s="49" t="s">
        <v>0</v>
      </c>
      <c r="C3" s="50" t="s">
        <v>13</v>
      </c>
      <c r="D3" s="53" t="s">
        <v>1</v>
      </c>
      <c r="E3" s="50"/>
      <c r="F3" s="54" t="s">
        <v>11</v>
      </c>
      <c r="G3" s="57" t="s">
        <v>2</v>
      </c>
      <c r="H3" s="58"/>
      <c r="I3" s="59" t="s">
        <v>3</v>
      </c>
      <c r="J3" s="62" t="s">
        <v>12</v>
      </c>
      <c r="K3" s="62"/>
      <c r="L3" s="62"/>
      <c r="M3" s="62"/>
      <c r="N3" s="72" t="s">
        <v>21</v>
      </c>
      <c r="O3" s="73"/>
      <c r="P3" s="72" t="s">
        <v>24</v>
      </c>
      <c r="Q3" s="73"/>
      <c r="R3" s="53" t="s">
        <v>4</v>
      </c>
      <c r="S3" s="50"/>
      <c r="T3" s="53" t="s">
        <v>5</v>
      </c>
      <c r="U3" s="50"/>
      <c r="V3" s="69" t="s">
        <v>29</v>
      </c>
      <c r="W3" s="54" t="s">
        <v>18</v>
      </c>
      <c r="X3" s="63" t="s">
        <v>6</v>
      </c>
    </row>
    <row r="4" spans="1:24" s="16" customFormat="1" ht="36" customHeight="1" x14ac:dyDescent="0.2">
      <c r="A4" s="47"/>
      <c r="B4" s="49"/>
      <c r="C4" s="51"/>
      <c r="D4" s="54" t="s">
        <v>22</v>
      </c>
      <c r="E4" s="54" t="s">
        <v>23</v>
      </c>
      <c r="F4" s="55"/>
      <c r="G4" s="54" t="s">
        <v>27</v>
      </c>
      <c r="H4" s="54" t="s">
        <v>28</v>
      </c>
      <c r="I4" s="60"/>
      <c r="J4" s="66" t="s">
        <v>14</v>
      </c>
      <c r="K4" s="66" t="s">
        <v>15</v>
      </c>
      <c r="L4" s="66" t="s">
        <v>16</v>
      </c>
      <c r="M4" s="66" t="s">
        <v>17</v>
      </c>
      <c r="N4" s="70" t="s">
        <v>19</v>
      </c>
      <c r="O4" s="70" t="s">
        <v>20</v>
      </c>
      <c r="P4" s="70" t="s">
        <v>25</v>
      </c>
      <c r="Q4" s="70" t="s">
        <v>26</v>
      </c>
      <c r="R4" s="68"/>
      <c r="S4" s="52"/>
      <c r="T4" s="68"/>
      <c r="U4" s="52"/>
      <c r="V4" s="69"/>
      <c r="W4" s="55"/>
      <c r="X4" s="64"/>
    </row>
    <row r="5" spans="1:24" s="16" customFormat="1" ht="66.75" customHeight="1" x14ac:dyDescent="0.2">
      <c r="A5" s="48"/>
      <c r="B5" s="49"/>
      <c r="C5" s="52"/>
      <c r="D5" s="56"/>
      <c r="E5" s="56"/>
      <c r="F5" s="56"/>
      <c r="G5" s="56"/>
      <c r="H5" s="56"/>
      <c r="I5" s="61"/>
      <c r="J5" s="67"/>
      <c r="K5" s="67"/>
      <c r="L5" s="67"/>
      <c r="M5" s="67"/>
      <c r="N5" s="71"/>
      <c r="O5" s="71"/>
      <c r="P5" s="71"/>
      <c r="Q5" s="71"/>
      <c r="R5" s="17" t="s">
        <v>7</v>
      </c>
      <c r="S5" s="17" t="s">
        <v>8</v>
      </c>
      <c r="T5" s="17" t="s">
        <v>7</v>
      </c>
      <c r="U5" s="17" t="s">
        <v>8</v>
      </c>
      <c r="V5" s="69"/>
      <c r="W5" s="56"/>
      <c r="X5" s="65"/>
    </row>
    <row r="6" spans="1:24" s="13" customFormat="1" ht="65.25" x14ac:dyDescent="0.5">
      <c r="A6" s="2">
        <v>1</v>
      </c>
      <c r="B6" s="3" t="s">
        <v>115</v>
      </c>
      <c r="C6" s="2" t="s">
        <v>40</v>
      </c>
      <c r="D6" s="2">
        <v>2</v>
      </c>
      <c r="E6" s="2" t="s">
        <v>35</v>
      </c>
      <c r="F6" s="3" t="s">
        <v>38</v>
      </c>
      <c r="G6" s="3" t="s">
        <v>35</v>
      </c>
      <c r="H6" s="3" t="s">
        <v>55</v>
      </c>
      <c r="I6" s="4">
        <v>350000</v>
      </c>
      <c r="J6" s="19">
        <f>I6*15%</f>
        <v>52500</v>
      </c>
      <c r="K6" s="19">
        <f>J6/3</f>
        <v>17500</v>
      </c>
      <c r="L6" s="19">
        <f>J6/3</f>
        <v>17500</v>
      </c>
      <c r="M6" s="19">
        <f>J6/3</f>
        <v>17500</v>
      </c>
      <c r="N6" s="3" t="s">
        <v>35</v>
      </c>
      <c r="O6" s="2" t="s">
        <v>35</v>
      </c>
      <c r="P6" s="2" t="s">
        <v>35</v>
      </c>
      <c r="Q6" s="2" t="s">
        <v>35</v>
      </c>
      <c r="R6" s="6">
        <v>23924</v>
      </c>
      <c r="S6" s="6">
        <v>46052</v>
      </c>
      <c r="T6" s="6" t="s">
        <v>42</v>
      </c>
      <c r="U6" s="6" t="s">
        <v>42</v>
      </c>
      <c r="V6" s="2" t="s">
        <v>114</v>
      </c>
      <c r="W6" s="32"/>
      <c r="X6" s="3" t="s">
        <v>121</v>
      </c>
    </row>
    <row r="7" spans="1:24" s="13" customFormat="1" ht="65.25" x14ac:dyDescent="0.5">
      <c r="A7" s="2">
        <v>2</v>
      </c>
      <c r="B7" s="3" t="s">
        <v>116</v>
      </c>
      <c r="C7" s="2" t="s">
        <v>108</v>
      </c>
      <c r="D7" s="2">
        <v>2</v>
      </c>
      <c r="E7" s="2" t="s">
        <v>35</v>
      </c>
      <c r="F7" s="3" t="s">
        <v>109</v>
      </c>
      <c r="G7" s="3" t="s">
        <v>35</v>
      </c>
      <c r="H7" s="3" t="s">
        <v>117</v>
      </c>
      <c r="I7" s="4">
        <v>36000</v>
      </c>
      <c r="J7" s="19">
        <f>I7*15%</f>
        <v>5400</v>
      </c>
      <c r="K7" s="19">
        <f>J7/3</f>
        <v>1800</v>
      </c>
      <c r="L7" s="19">
        <f>J7/3</f>
        <v>1800</v>
      </c>
      <c r="M7" s="19">
        <f>J7/3</f>
        <v>1800</v>
      </c>
      <c r="N7" s="2" t="s">
        <v>35</v>
      </c>
      <c r="O7" s="2" t="s">
        <v>35</v>
      </c>
      <c r="P7" s="2" t="s">
        <v>35</v>
      </c>
      <c r="Q7" s="2" t="s">
        <v>35</v>
      </c>
      <c r="R7" s="6">
        <v>25014</v>
      </c>
      <c r="S7" s="6">
        <v>25172</v>
      </c>
      <c r="T7" s="6" t="s">
        <v>42</v>
      </c>
      <c r="U7" s="6" t="s">
        <v>42</v>
      </c>
      <c r="V7" s="2" t="s">
        <v>118</v>
      </c>
      <c r="W7" s="32"/>
      <c r="X7" s="3" t="s">
        <v>121</v>
      </c>
    </row>
    <row r="8" spans="1:24" s="7" customFormat="1" ht="108.75" x14ac:dyDescent="0.2">
      <c r="A8" s="2">
        <v>3</v>
      </c>
      <c r="B8" s="3" t="s">
        <v>119</v>
      </c>
      <c r="C8" s="2" t="s">
        <v>49</v>
      </c>
      <c r="D8" s="5"/>
      <c r="E8" s="5"/>
      <c r="F8" s="3" t="s">
        <v>52</v>
      </c>
      <c r="G8" s="2" t="s">
        <v>35</v>
      </c>
      <c r="H8" s="3" t="s">
        <v>73</v>
      </c>
      <c r="I8" s="4">
        <v>500000</v>
      </c>
      <c r="J8" s="19">
        <f>I8*15%</f>
        <v>75000</v>
      </c>
      <c r="K8" s="19">
        <f>J8/3</f>
        <v>25000</v>
      </c>
      <c r="L8" s="19">
        <f>J8/3</f>
        <v>25000</v>
      </c>
      <c r="M8" s="19">
        <f>J8/3</f>
        <v>25000</v>
      </c>
      <c r="N8" s="2" t="s">
        <v>35</v>
      </c>
      <c r="O8" s="2" t="s">
        <v>35</v>
      </c>
      <c r="P8" s="2" t="s">
        <v>35</v>
      </c>
      <c r="Q8" s="2" t="s">
        <v>35</v>
      </c>
      <c r="R8" s="6">
        <v>25009</v>
      </c>
      <c r="S8" s="6">
        <v>25203</v>
      </c>
      <c r="T8" s="6" t="s">
        <v>42</v>
      </c>
      <c r="U8" s="6" t="s">
        <v>42</v>
      </c>
      <c r="V8" s="2" t="s">
        <v>120</v>
      </c>
      <c r="W8" s="5"/>
      <c r="X8" s="3" t="s">
        <v>121</v>
      </c>
    </row>
  </sheetData>
  <mergeCells count="29">
    <mergeCell ref="A1:X1"/>
    <mergeCell ref="A2:X2"/>
    <mergeCell ref="A3:A5"/>
    <mergeCell ref="B3:B5"/>
    <mergeCell ref="C3:C5"/>
    <mergeCell ref="D3:E3"/>
    <mergeCell ref="F3:F5"/>
    <mergeCell ref="G3:H3"/>
    <mergeCell ref="I3:I5"/>
    <mergeCell ref="J3:M3"/>
    <mergeCell ref="X3:X5"/>
    <mergeCell ref="D4:D5"/>
    <mergeCell ref="E4:E5"/>
    <mergeCell ref="G4:G5"/>
    <mergeCell ref="H4:H5"/>
    <mergeCell ref="J4:J5"/>
    <mergeCell ref="K4:K5"/>
    <mergeCell ref="L4:L5"/>
    <mergeCell ref="T3:U4"/>
    <mergeCell ref="V3:V5"/>
    <mergeCell ref="W3:W5"/>
    <mergeCell ref="M4:M5"/>
    <mergeCell ref="N4:N5"/>
    <mergeCell ref="N3:O3"/>
    <mergeCell ref="P3:Q3"/>
    <mergeCell ref="R3:S4"/>
    <mergeCell ref="O4:O5"/>
    <mergeCell ref="P4:P5"/>
    <mergeCell ref="Q4:Q5"/>
  </mergeCells>
  <pageMargins left="0.23622047244094491" right="0" top="0.19685039370078741" bottom="0" header="0.19685039370078741" footer="0"/>
  <pageSetup paperSize="9" scale="58" orientation="landscape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77E6C-41C1-4101-87EF-B7C985E46058}">
  <dimension ref="A1:X9"/>
  <sheetViews>
    <sheetView topLeftCell="A6" zoomScale="90" zoomScaleNormal="90" workbookViewId="0">
      <selection activeCell="F7" sqref="F7"/>
    </sheetView>
  </sheetViews>
  <sheetFormatPr defaultColWidth="9" defaultRowHeight="24" x14ac:dyDescent="0.55000000000000004"/>
  <cols>
    <col min="1" max="1" width="4.875" style="1" customWidth="1"/>
    <col min="2" max="2" width="23.375" style="1" customWidth="1"/>
    <col min="3" max="3" width="19.125" style="8" customWidth="1"/>
    <col min="4" max="4" width="6.375" style="8" customWidth="1"/>
    <col min="5" max="5" width="7.375" style="8" customWidth="1"/>
    <col min="6" max="6" width="15.25" style="9" customWidth="1"/>
    <col min="7" max="7" width="10.75" style="10" customWidth="1"/>
    <col min="8" max="8" width="13.625" style="10" customWidth="1"/>
    <col min="9" max="9" width="12.5" style="1" customWidth="1"/>
    <col min="10" max="10" width="5.875" style="1" customWidth="1"/>
    <col min="11" max="12" width="5.125" style="1" customWidth="1"/>
    <col min="13" max="13" width="4.375" style="1" customWidth="1"/>
    <col min="14" max="14" width="9.125" style="1" customWidth="1"/>
    <col min="15" max="15" width="9.625" style="1" customWidth="1"/>
    <col min="16" max="17" width="8.625" style="1" customWidth="1"/>
    <col min="18" max="18" width="9.75" style="1" customWidth="1"/>
    <col min="19" max="19" width="8.875" style="1" customWidth="1"/>
    <col min="20" max="20" width="8" style="1" customWidth="1"/>
    <col min="21" max="21" width="8.625" style="8" customWidth="1"/>
    <col min="22" max="22" width="10.625" style="1" customWidth="1"/>
    <col min="23" max="23" width="9.125" style="1" customWidth="1"/>
    <col min="24" max="24" width="7.25" style="1" customWidth="1"/>
    <col min="25" max="25" width="10.375" style="1" bestFit="1" customWidth="1"/>
    <col min="26" max="16384" width="9" style="1"/>
  </cols>
  <sheetData>
    <row r="1" spans="1:24" x14ac:dyDescent="0.55000000000000004">
      <c r="A1" s="44" t="s">
        <v>10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</row>
    <row r="2" spans="1:24" ht="24.75" customHeight="1" x14ac:dyDescent="0.55000000000000004">
      <c r="A2" s="45" t="s">
        <v>123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</row>
    <row r="3" spans="1:24" s="16" customFormat="1" ht="24.75" customHeight="1" x14ac:dyDescent="0.2">
      <c r="A3" s="46" t="s">
        <v>9</v>
      </c>
      <c r="B3" s="49" t="s">
        <v>0</v>
      </c>
      <c r="C3" s="50" t="s">
        <v>13</v>
      </c>
      <c r="D3" s="53" t="s">
        <v>1</v>
      </c>
      <c r="E3" s="50"/>
      <c r="F3" s="54" t="s">
        <v>11</v>
      </c>
      <c r="G3" s="57" t="s">
        <v>2</v>
      </c>
      <c r="H3" s="58"/>
      <c r="I3" s="59" t="s">
        <v>3</v>
      </c>
      <c r="J3" s="62" t="s">
        <v>12</v>
      </c>
      <c r="K3" s="62"/>
      <c r="L3" s="62"/>
      <c r="M3" s="62"/>
      <c r="N3" s="72" t="s">
        <v>21</v>
      </c>
      <c r="O3" s="73"/>
      <c r="P3" s="72" t="s">
        <v>24</v>
      </c>
      <c r="Q3" s="73"/>
      <c r="R3" s="53" t="s">
        <v>4</v>
      </c>
      <c r="S3" s="50"/>
      <c r="T3" s="53" t="s">
        <v>5</v>
      </c>
      <c r="U3" s="50"/>
      <c r="V3" s="69" t="s">
        <v>29</v>
      </c>
      <c r="W3" s="54" t="s">
        <v>18</v>
      </c>
      <c r="X3" s="63" t="s">
        <v>6</v>
      </c>
    </row>
    <row r="4" spans="1:24" s="16" customFormat="1" ht="36" customHeight="1" x14ac:dyDescent="0.2">
      <c r="A4" s="47"/>
      <c r="B4" s="49"/>
      <c r="C4" s="51"/>
      <c r="D4" s="54" t="s">
        <v>22</v>
      </c>
      <c r="E4" s="54" t="s">
        <v>23</v>
      </c>
      <c r="F4" s="55"/>
      <c r="G4" s="54" t="s">
        <v>27</v>
      </c>
      <c r="H4" s="54" t="s">
        <v>28</v>
      </c>
      <c r="I4" s="60"/>
      <c r="J4" s="66" t="s">
        <v>14</v>
      </c>
      <c r="K4" s="66" t="s">
        <v>15</v>
      </c>
      <c r="L4" s="66" t="s">
        <v>16</v>
      </c>
      <c r="M4" s="66" t="s">
        <v>17</v>
      </c>
      <c r="N4" s="70" t="s">
        <v>19</v>
      </c>
      <c r="O4" s="70" t="s">
        <v>20</v>
      </c>
      <c r="P4" s="70" t="s">
        <v>25</v>
      </c>
      <c r="Q4" s="70" t="s">
        <v>26</v>
      </c>
      <c r="R4" s="68"/>
      <c r="S4" s="52"/>
      <c r="T4" s="68"/>
      <c r="U4" s="52"/>
      <c r="V4" s="69"/>
      <c r="W4" s="55"/>
      <c r="X4" s="64"/>
    </row>
    <row r="5" spans="1:24" s="16" customFormat="1" ht="66.75" customHeight="1" x14ac:dyDescent="0.2">
      <c r="A5" s="48"/>
      <c r="B5" s="49"/>
      <c r="C5" s="52"/>
      <c r="D5" s="56"/>
      <c r="E5" s="56"/>
      <c r="F5" s="56"/>
      <c r="G5" s="56"/>
      <c r="H5" s="56"/>
      <c r="I5" s="61"/>
      <c r="J5" s="67"/>
      <c r="K5" s="67"/>
      <c r="L5" s="67"/>
      <c r="M5" s="67"/>
      <c r="N5" s="71"/>
      <c r="O5" s="71"/>
      <c r="P5" s="71"/>
      <c r="Q5" s="71"/>
      <c r="R5" s="17" t="s">
        <v>7</v>
      </c>
      <c r="S5" s="17" t="s">
        <v>8</v>
      </c>
      <c r="T5" s="17" t="s">
        <v>7</v>
      </c>
      <c r="U5" s="17" t="s">
        <v>8</v>
      </c>
      <c r="V5" s="69"/>
      <c r="W5" s="56"/>
      <c r="X5" s="65"/>
    </row>
    <row r="6" spans="1:24" s="7" customFormat="1" ht="160.5" customHeight="1" x14ac:dyDescent="0.2">
      <c r="A6" s="20">
        <v>1</v>
      </c>
      <c r="B6" s="11" t="s">
        <v>132</v>
      </c>
      <c r="C6" s="21" t="s">
        <v>134</v>
      </c>
      <c r="D6" s="22">
        <v>5</v>
      </c>
      <c r="E6" s="22" t="s">
        <v>35</v>
      </c>
      <c r="F6" s="22" t="s">
        <v>131</v>
      </c>
      <c r="G6" s="22" t="s">
        <v>133</v>
      </c>
      <c r="H6" s="22" t="s">
        <v>35</v>
      </c>
      <c r="I6" s="26">
        <v>250000</v>
      </c>
      <c r="J6" s="19">
        <f>I6*15%</f>
        <v>37500</v>
      </c>
      <c r="K6" s="19">
        <f>J6/3</f>
        <v>12500</v>
      </c>
      <c r="L6" s="19">
        <f>J6/3</f>
        <v>12500</v>
      </c>
      <c r="M6" s="19">
        <f>J6/3</f>
        <v>12500</v>
      </c>
      <c r="N6" s="34" t="s">
        <v>35</v>
      </c>
      <c r="O6" s="34" t="s">
        <v>35</v>
      </c>
      <c r="P6" s="34" t="s">
        <v>35</v>
      </c>
      <c r="Q6" s="34" t="s">
        <v>35</v>
      </c>
      <c r="R6" s="25">
        <v>25015</v>
      </c>
      <c r="S6" s="25">
        <v>25379</v>
      </c>
      <c r="T6" s="11" t="s">
        <v>35</v>
      </c>
      <c r="U6" s="11" t="s">
        <v>35</v>
      </c>
      <c r="V6" s="3" t="s">
        <v>136</v>
      </c>
      <c r="W6" s="22"/>
      <c r="X6" s="2" t="s">
        <v>121</v>
      </c>
    </row>
    <row r="7" spans="1:24" s="13" customFormat="1" ht="87" x14ac:dyDescent="0.5">
      <c r="A7" s="2">
        <v>2</v>
      </c>
      <c r="B7" s="3" t="s">
        <v>66</v>
      </c>
      <c r="C7" s="3" t="s">
        <v>48</v>
      </c>
      <c r="D7" s="2">
        <v>15</v>
      </c>
      <c r="E7" s="2">
        <v>2</v>
      </c>
      <c r="F7" s="3" t="s">
        <v>36</v>
      </c>
      <c r="G7" s="3" t="s">
        <v>35</v>
      </c>
      <c r="H7" s="3" t="s">
        <v>64</v>
      </c>
      <c r="I7" s="4">
        <v>18340000</v>
      </c>
      <c r="J7" s="31">
        <f t="shared" ref="J7" si="0">I7*15%</f>
        <v>2751000</v>
      </c>
      <c r="K7" s="31">
        <f t="shared" ref="K7" si="1">J7/3</f>
        <v>917000</v>
      </c>
      <c r="L7" s="31">
        <f t="shared" ref="L7" si="2">J7/3</f>
        <v>917000</v>
      </c>
      <c r="M7" s="31">
        <f t="shared" ref="M7" si="3">J7/3</f>
        <v>917000</v>
      </c>
      <c r="N7" s="3" t="s">
        <v>67</v>
      </c>
      <c r="O7" s="2" t="s">
        <v>35</v>
      </c>
      <c r="P7" s="2" t="s">
        <v>35</v>
      </c>
      <c r="Q7" s="2" t="s">
        <v>35</v>
      </c>
      <c r="R7" s="6">
        <v>25015</v>
      </c>
      <c r="S7" s="6">
        <v>25568</v>
      </c>
      <c r="T7" s="6">
        <v>24866</v>
      </c>
      <c r="U7" s="6">
        <v>25568</v>
      </c>
      <c r="V7" s="3" t="s">
        <v>135</v>
      </c>
      <c r="W7" s="32"/>
      <c r="X7" s="2" t="s">
        <v>121</v>
      </c>
    </row>
    <row r="8" spans="1:24" s="13" customFormat="1" ht="87" x14ac:dyDescent="0.5">
      <c r="A8" s="2">
        <v>3</v>
      </c>
      <c r="B8" s="3" t="s">
        <v>63</v>
      </c>
      <c r="C8" s="3" t="s">
        <v>37</v>
      </c>
      <c r="D8" s="2">
        <v>13</v>
      </c>
      <c r="E8" s="2">
        <v>2</v>
      </c>
      <c r="F8" s="3" t="s">
        <v>36</v>
      </c>
      <c r="G8" s="3" t="s">
        <v>35</v>
      </c>
      <c r="H8" s="3" t="s">
        <v>64</v>
      </c>
      <c r="I8" s="4">
        <v>18594000</v>
      </c>
      <c r="J8" s="31">
        <f t="shared" ref="J8" si="4">I8*15%</f>
        <v>2789100</v>
      </c>
      <c r="K8" s="31">
        <f t="shared" ref="K8" si="5">J8/3</f>
        <v>929700</v>
      </c>
      <c r="L8" s="31">
        <f t="shared" ref="L8" si="6">J8/3</f>
        <v>929700</v>
      </c>
      <c r="M8" s="31">
        <f t="shared" ref="M8" si="7">J8/3</f>
        <v>929700</v>
      </c>
      <c r="N8" s="3" t="s">
        <v>65</v>
      </c>
      <c r="O8" s="2" t="s">
        <v>35</v>
      </c>
      <c r="P8" s="2" t="s">
        <v>35</v>
      </c>
      <c r="Q8" s="2" t="s">
        <v>35</v>
      </c>
      <c r="R8" s="6">
        <v>25015</v>
      </c>
      <c r="S8" s="6">
        <v>25568</v>
      </c>
      <c r="T8" s="6">
        <v>24871</v>
      </c>
      <c r="U8" s="6">
        <v>25568</v>
      </c>
      <c r="V8" s="2" t="s">
        <v>130</v>
      </c>
      <c r="W8" s="32"/>
      <c r="X8" s="2" t="s">
        <v>121</v>
      </c>
    </row>
    <row r="9" spans="1:24" s="13" customFormat="1" ht="65.25" x14ac:dyDescent="0.5">
      <c r="A9" s="2">
        <v>4</v>
      </c>
      <c r="B9" s="3" t="s">
        <v>125</v>
      </c>
      <c r="C9" s="2" t="s">
        <v>126</v>
      </c>
      <c r="D9" s="2">
        <v>1</v>
      </c>
      <c r="E9" s="2" t="s">
        <v>35</v>
      </c>
      <c r="F9" s="3" t="s">
        <v>128</v>
      </c>
      <c r="G9" s="3" t="s">
        <v>35</v>
      </c>
      <c r="H9" s="3" t="s">
        <v>127</v>
      </c>
      <c r="I9" s="4">
        <v>43700</v>
      </c>
      <c r="J9" s="19">
        <f>I9*15%</f>
        <v>6555</v>
      </c>
      <c r="K9" s="19">
        <f>J9/3</f>
        <v>2185</v>
      </c>
      <c r="L9" s="19">
        <f>J9/3</f>
        <v>2185</v>
      </c>
      <c r="M9" s="19">
        <f>J9/3</f>
        <v>2185</v>
      </c>
      <c r="N9" s="3" t="s">
        <v>35</v>
      </c>
      <c r="O9" s="2" t="s">
        <v>35</v>
      </c>
      <c r="P9" s="2" t="s">
        <v>35</v>
      </c>
      <c r="Q9" s="2" t="s">
        <v>35</v>
      </c>
      <c r="R9" s="6">
        <v>25020</v>
      </c>
      <c r="S9" s="6">
        <v>25384</v>
      </c>
      <c r="T9" s="6" t="s">
        <v>42</v>
      </c>
      <c r="U9" s="6" t="s">
        <v>42</v>
      </c>
      <c r="V9" s="2" t="s">
        <v>137</v>
      </c>
      <c r="W9" s="32"/>
      <c r="X9" s="2" t="s">
        <v>121</v>
      </c>
    </row>
  </sheetData>
  <mergeCells count="29">
    <mergeCell ref="A1:X1"/>
    <mergeCell ref="A2:X2"/>
    <mergeCell ref="A3:A5"/>
    <mergeCell ref="B3:B5"/>
    <mergeCell ref="C3:C5"/>
    <mergeCell ref="D3:E3"/>
    <mergeCell ref="F3:F5"/>
    <mergeCell ref="G3:H3"/>
    <mergeCell ref="I3:I5"/>
    <mergeCell ref="J3:M3"/>
    <mergeCell ref="X3:X5"/>
    <mergeCell ref="D4:D5"/>
    <mergeCell ref="E4:E5"/>
    <mergeCell ref="G4:G5"/>
    <mergeCell ref="H4:H5"/>
    <mergeCell ref="J4:J5"/>
    <mergeCell ref="K4:K5"/>
    <mergeCell ref="L4:L5"/>
    <mergeCell ref="T3:U4"/>
    <mergeCell ref="V3:V5"/>
    <mergeCell ref="W3:W5"/>
    <mergeCell ref="M4:M5"/>
    <mergeCell ref="N4:N5"/>
    <mergeCell ref="N3:O3"/>
    <mergeCell ref="P3:Q3"/>
    <mergeCell ref="R3:S4"/>
    <mergeCell ref="O4:O5"/>
    <mergeCell ref="P4:P5"/>
    <mergeCell ref="Q4:Q5"/>
  </mergeCells>
  <pageMargins left="0.23622047244094491" right="0" top="0.19685039370078741" bottom="0" header="0.19685039370078741" footer="0"/>
  <pageSetup paperSize="9" scale="58" orientation="landscape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BCE25-8360-4DD9-A10E-A3F92E0FB078}">
  <dimension ref="A1:X8"/>
  <sheetViews>
    <sheetView zoomScale="90" zoomScaleNormal="90" workbookViewId="0">
      <selection activeCell="H10" sqref="H10"/>
    </sheetView>
  </sheetViews>
  <sheetFormatPr defaultColWidth="9" defaultRowHeight="24" x14ac:dyDescent="0.55000000000000004"/>
  <cols>
    <col min="1" max="1" width="4.875" style="1" customWidth="1"/>
    <col min="2" max="2" width="23.375" style="1" customWidth="1"/>
    <col min="3" max="3" width="19.125" style="8" customWidth="1"/>
    <col min="4" max="4" width="6.375" style="8" customWidth="1"/>
    <col min="5" max="5" width="7.375" style="8" customWidth="1"/>
    <col min="6" max="6" width="15.25" style="9" customWidth="1"/>
    <col min="7" max="7" width="10.75" style="10" customWidth="1"/>
    <col min="8" max="8" width="13.625" style="10" customWidth="1"/>
    <col min="9" max="9" width="12.5" style="1" customWidth="1"/>
    <col min="10" max="10" width="5.875" style="1" customWidth="1"/>
    <col min="11" max="12" width="5.125" style="1" customWidth="1"/>
    <col min="13" max="13" width="4.375" style="1" customWidth="1"/>
    <col min="14" max="14" width="9.125" style="1" customWidth="1"/>
    <col min="15" max="15" width="9.625" style="1" customWidth="1"/>
    <col min="16" max="17" width="8.625" style="1" customWidth="1"/>
    <col min="18" max="18" width="9.75" style="1" customWidth="1"/>
    <col min="19" max="19" width="8.875" style="1" customWidth="1"/>
    <col min="20" max="20" width="8" style="1" customWidth="1"/>
    <col min="21" max="21" width="8.625" style="8" customWidth="1"/>
    <col min="22" max="22" width="10.625" style="1" customWidth="1"/>
    <col min="23" max="23" width="9.125" style="1" customWidth="1"/>
    <col min="24" max="24" width="7.25" style="1" customWidth="1"/>
    <col min="25" max="25" width="10.375" style="1" bestFit="1" customWidth="1"/>
    <col min="26" max="16384" width="9" style="1"/>
  </cols>
  <sheetData>
    <row r="1" spans="1:24" x14ac:dyDescent="0.55000000000000004">
      <c r="A1" s="44" t="s">
        <v>10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</row>
    <row r="2" spans="1:24" ht="24.75" customHeight="1" x14ac:dyDescent="0.55000000000000004">
      <c r="A2" s="45" t="s">
        <v>124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</row>
    <row r="3" spans="1:24" s="16" customFormat="1" ht="24.75" customHeight="1" x14ac:dyDescent="0.2">
      <c r="A3" s="46" t="s">
        <v>9</v>
      </c>
      <c r="B3" s="49" t="s">
        <v>0</v>
      </c>
      <c r="C3" s="50" t="s">
        <v>13</v>
      </c>
      <c r="D3" s="53" t="s">
        <v>1</v>
      </c>
      <c r="E3" s="50"/>
      <c r="F3" s="54" t="s">
        <v>11</v>
      </c>
      <c r="G3" s="57" t="s">
        <v>2</v>
      </c>
      <c r="H3" s="58"/>
      <c r="I3" s="59" t="s">
        <v>3</v>
      </c>
      <c r="J3" s="62" t="s">
        <v>12</v>
      </c>
      <c r="K3" s="62"/>
      <c r="L3" s="62"/>
      <c r="M3" s="62"/>
      <c r="N3" s="72" t="s">
        <v>21</v>
      </c>
      <c r="O3" s="73"/>
      <c r="P3" s="72" t="s">
        <v>24</v>
      </c>
      <c r="Q3" s="73"/>
      <c r="R3" s="53" t="s">
        <v>4</v>
      </c>
      <c r="S3" s="50"/>
      <c r="T3" s="53" t="s">
        <v>5</v>
      </c>
      <c r="U3" s="50"/>
      <c r="V3" s="69" t="s">
        <v>29</v>
      </c>
      <c r="W3" s="54" t="s">
        <v>18</v>
      </c>
      <c r="X3" s="63" t="s">
        <v>6</v>
      </c>
    </row>
    <row r="4" spans="1:24" s="16" customFormat="1" ht="36" customHeight="1" x14ac:dyDescent="0.2">
      <c r="A4" s="47"/>
      <c r="B4" s="49"/>
      <c r="C4" s="51"/>
      <c r="D4" s="54" t="s">
        <v>22</v>
      </c>
      <c r="E4" s="54" t="s">
        <v>23</v>
      </c>
      <c r="F4" s="55"/>
      <c r="G4" s="54" t="s">
        <v>27</v>
      </c>
      <c r="H4" s="54" t="s">
        <v>28</v>
      </c>
      <c r="I4" s="60"/>
      <c r="J4" s="66" t="s">
        <v>14</v>
      </c>
      <c r="K4" s="66" t="s">
        <v>15</v>
      </c>
      <c r="L4" s="66" t="s">
        <v>16</v>
      </c>
      <c r="M4" s="66" t="s">
        <v>17</v>
      </c>
      <c r="N4" s="70" t="s">
        <v>19</v>
      </c>
      <c r="O4" s="70" t="s">
        <v>20</v>
      </c>
      <c r="P4" s="70" t="s">
        <v>25</v>
      </c>
      <c r="Q4" s="70" t="s">
        <v>26</v>
      </c>
      <c r="R4" s="68"/>
      <c r="S4" s="52"/>
      <c r="T4" s="68"/>
      <c r="U4" s="52"/>
      <c r="V4" s="69"/>
      <c r="W4" s="55"/>
      <c r="X4" s="64"/>
    </row>
    <row r="5" spans="1:24" s="16" customFormat="1" ht="66.75" customHeight="1" x14ac:dyDescent="0.2">
      <c r="A5" s="48"/>
      <c r="B5" s="49"/>
      <c r="C5" s="52"/>
      <c r="D5" s="56"/>
      <c r="E5" s="56"/>
      <c r="F5" s="56"/>
      <c r="G5" s="56"/>
      <c r="H5" s="56"/>
      <c r="I5" s="61"/>
      <c r="J5" s="67"/>
      <c r="K5" s="67"/>
      <c r="L5" s="67"/>
      <c r="M5" s="67"/>
      <c r="N5" s="71"/>
      <c r="O5" s="71"/>
      <c r="P5" s="71"/>
      <c r="Q5" s="71"/>
      <c r="R5" s="17" t="s">
        <v>7</v>
      </c>
      <c r="S5" s="17" t="s">
        <v>8</v>
      </c>
      <c r="T5" s="17" t="s">
        <v>7</v>
      </c>
      <c r="U5" s="17" t="s">
        <v>8</v>
      </c>
      <c r="V5" s="69"/>
      <c r="W5" s="56"/>
      <c r="X5" s="65"/>
    </row>
    <row r="6" spans="1:24" s="13" customFormat="1" ht="21.75" x14ac:dyDescent="0.5">
      <c r="A6" s="2"/>
      <c r="B6" s="3"/>
      <c r="C6" s="35"/>
      <c r="D6" s="2"/>
      <c r="E6" s="2"/>
      <c r="F6" s="3"/>
      <c r="G6" s="3"/>
      <c r="H6" s="3"/>
      <c r="I6" s="4"/>
      <c r="J6" s="19"/>
      <c r="K6" s="19"/>
      <c r="L6" s="19"/>
      <c r="M6" s="19"/>
      <c r="N6" s="3"/>
      <c r="O6" s="2"/>
      <c r="P6" s="2"/>
      <c r="Q6" s="2"/>
      <c r="R6" s="6"/>
      <c r="S6" s="6"/>
      <c r="T6" s="6"/>
      <c r="U6" s="6"/>
      <c r="V6" s="2"/>
      <c r="W6" s="32"/>
      <c r="X6" s="3"/>
    </row>
    <row r="7" spans="1:24" s="13" customFormat="1" ht="21.75" x14ac:dyDescent="0.5">
      <c r="A7" s="2"/>
      <c r="B7" s="3"/>
      <c r="C7" s="2"/>
      <c r="D7" s="2"/>
      <c r="E7" s="2"/>
      <c r="F7" s="3"/>
      <c r="G7" s="3"/>
      <c r="H7" s="3"/>
      <c r="I7" s="4"/>
      <c r="J7" s="19"/>
      <c r="K7" s="19"/>
      <c r="L7" s="19"/>
      <c r="M7" s="19"/>
      <c r="N7" s="2"/>
      <c r="O7" s="2"/>
      <c r="P7" s="2"/>
      <c r="Q7" s="2"/>
      <c r="R7" s="6"/>
      <c r="S7" s="6"/>
      <c r="T7" s="6"/>
      <c r="U7" s="6"/>
      <c r="V7" s="2"/>
      <c r="W7" s="32"/>
      <c r="X7" s="3"/>
    </row>
    <row r="8" spans="1:24" s="7" customFormat="1" ht="21.75" x14ac:dyDescent="0.2">
      <c r="A8" s="2"/>
      <c r="B8" s="3"/>
      <c r="C8" s="2"/>
      <c r="D8" s="5"/>
      <c r="E8" s="5"/>
      <c r="F8" s="3"/>
      <c r="G8" s="2"/>
      <c r="H8" s="3"/>
      <c r="I8" s="4"/>
      <c r="J8" s="19"/>
      <c r="K8" s="19"/>
      <c r="L8" s="19"/>
      <c r="M8" s="19"/>
      <c r="N8" s="2"/>
      <c r="O8" s="2"/>
      <c r="P8" s="2"/>
      <c r="Q8" s="2"/>
      <c r="R8" s="6"/>
      <c r="S8" s="6"/>
      <c r="T8" s="6"/>
      <c r="U8" s="6"/>
      <c r="V8" s="2"/>
      <c r="W8" s="5"/>
      <c r="X8" s="3"/>
    </row>
  </sheetData>
  <mergeCells count="29">
    <mergeCell ref="A1:X1"/>
    <mergeCell ref="A2:X2"/>
    <mergeCell ref="A3:A5"/>
    <mergeCell ref="B3:B5"/>
    <mergeCell ref="C3:C5"/>
    <mergeCell ref="D3:E3"/>
    <mergeCell ref="F3:F5"/>
    <mergeCell ref="G3:H3"/>
    <mergeCell ref="I3:I5"/>
    <mergeCell ref="J3:M3"/>
    <mergeCell ref="X3:X5"/>
    <mergeCell ref="D4:D5"/>
    <mergeCell ref="E4:E5"/>
    <mergeCell ref="G4:G5"/>
    <mergeCell ref="H4:H5"/>
    <mergeCell ref="J4:J5"/>
    <mergeCell ref="K4:K5"/>
    <mergeCell ref="L4:L5"/>
    <mergeCell ref="T3:U4"/>
    <mergeCell ref="V3:V5"/>
    <mergeCell ref="W3:W5"/>
    <mergeCell ref="M4:M5"/>
    <mergeCell ref="N4:N5"/>
    <mergeCell ref="N3:O3"/>
    <mergeCell ref="P3:Q3"/>
    <mergeCell ref="R3:S4"/>
    <mergeCell ref="O4:O5"/>
    <mergeCell ref="P4:P5"/>
    <mergeCell ref="Q4:Q5"/>
  </mergeCells>
  <pageMargins left="0.23622047244094491" right="0" top="0.19685039370078741" bottom="0" header="0.19685039370078741" footer="0"/>
  <pageSetup paperSize="9" scale="58" orientation="landscape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02A06-3421-4A89-8135-B919559B568A}">
  <dimension ref="A1:X10"/>
  <sheetViews>
    <sheetView zoomScale="90" zoomScaleNormal="90" workbookViewId="0">
      <selection activeCell="F9" sqref="F9"/>
    </sheetView>
  </sheetViews>
  <sheetFormatPr defaultColWidth="9" defaultRowHeight="24" x14ac:dyDescent="0.55000000000000004"/>
  <cols>
    <col min="1" max="1" width="4.875" style="1" customWidth="1"/>
    <col min="2" max="2" width="24.125" style="1" customWidth="1"/>
    <col min="3" max="3" width="20.125" style="8" customWidth="1"/>
    <col min="4" max="4" width="6.375" style="8" customWidth="1"/>
    <col min="5" max="5" width="7.375" style="8" customWidth="1"/>
    <col min="6" max="6" width="15.25" style="9" customWidth="1"/>
    <col min="7" max="7" width="10.75" style="10" customWidth="1"/>
    <col min="8" max="8" width="13.625" style="10" customWidth="1"/>
    <col min="9" max="9" width="12.5" style="1" customWidth="1"/>
    <col min="10" max="10" width="5.875" style="1" customWidth="1"/>
    <col min="11" max="12" width="5.125" style="1" customWidth="1"/>
    <col min="13" max="13" width="4.375" style="1" customWidth="1"/>
    <col min="14" max="14" width="9.125" style="1" customWidth="1"/>
    <col min="15" max="15" width="9.625" style="1" customWidth="1"/>
    <col min="16" max="17" width="8.625" style="1" customWidth="1"/>
    <col min="18" max="18" width="9.75" style="1" customWidth="1"/>
    <col min="19" max="19" width="8.875" style="1" customWidth="1"/>
    <col min="20" max="20" width="8" style="1" customWidth="1"/>
    <col min="21" max="21" width="8.625" style="8" customWidth="1"/>
    <col min="22" max="22" width="10.625" style="1" customWidth="1"/>
    <col min="23" max="23" width="9.125" style="1" customWidth="1"/>
    <col min="24" max="24" width="7.25" style="1" customWidth="1"/>
    <col min="25" max="25" width="10.375" style="1" bestFit="1" customWidth="1"/>
    <col min="26" max="16384" width="9" style="1"/>
  </cols>
  <sheetData>
    <row r="1" spans="1:24" x14ac:dyDescent="0.55000000000000004">
      <c r="A1" s="44" t="s">
        <v>10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</row>
    <row r="2" spans="1:24" ht="24.75" customHeight="1" x14ac:dyDescent="0.55000000000000004">
      <c r="A2" s="45" t="s">
        <v>138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</row>
    <row r="3" spans="1:24" s="16" customFormat="1" ht="24.75" customHeight="1" x14ac:dyDescent="0.2">
      <c r="A3" s="46" t="s">
        <v>9</v>
      </c>
      <c r="B3" s="49" t="s">
        <v>0</v>
      </c>
      <c r="C3" s="50" t="s">
        <v>13</v>
      </c>
      <c r="D3" s="53" t="s">
        <v>1</v>
      </c>
      <c r="E3" s="50"/>
      <c r="F3" s="54" t="s">
        <v>11</v>
      </c>
      <c r="G3" s="57" t="s">
        <v>2</v>
      </c>
      <c r="H3" s="58"/>
      <c r="I3" s="59" t="s">
        <v>3</v>
      </c>
      <c r="J3" s="62" t="s">
        <v>12</v>
      </c>
      <c r="K3" s="62"/>
      <c r="L3" s="62"/>
      <c r="M3" s="62"/>
      <c r="N3" s="72" t="s">
        <v>21</v>
      </c>
      <c r="O3" s="73"/>
      <c r="P3" s="72" t="s">
        <v>24</v>
      </c>
      <c r="Q3" s="73"/>
      <c r="R3" s="53" t="s">
        <v>4</v>
      </c>
      <c r="S3" s="50"/>
      <c r="T3" s="53" t="s">
        <v>5</v>
      </c>
      <c r="U3" s="50"/>
      <c r="V3" s="69" t="s">
        <v>29</v>
      </c>
      <c r="W3" s="54" t="s">
        <v>18</v>
      </c>
      <c r="X3" s="63" t="s">
        <v>6</v>
      </c>
    </row>
    <row r="4" spans="1:24" s="16" customFormat="1" ht="36" customHeight="1" x14ac:dyDescent="0.2">
      <c r="A4" s="47"/>
      <c r="B4" s="49"/>
      <c r="C4" s="51"/>
      <c r="D4" s="54" t="s">
        <v>22</v>
      </c>
      <c r="E4" s="54" t="s">
        <v>23</v>
      </c>
      <c r="F4" s="55"/>
      <c r="G4" s="54" t="s">
        <v>27</v>
      </c>
      <c r="H4" s="54" t="s">
        <v>28</v>
      </c>
      <c r="I4" s="60"/>
      <c r="J4" s="66" t="s">
        <v>14</v>
      </c>
      <c r="K4" s="66" t="s">
        <v>15</v>
      </c>
      <c r="L4" s="66" t="s">
        <v>16</v>
      </c>
      <c r="M4" s="66" t="s">
        <v>17</v>
      </c>
      <c r="N4" s="70" t="s">
        <v>19</v>
      </c>
      <c r="O4" s="70" t="s">
        <v>20</v>
      </c>
      <c r="P4" s="70" t="s">
        <v>25</v>
      </c>
      <c r="Q4" s="70" t="s">
        <v>26</v>
      </c>
      <c r="R4" s="68"/>
      <c r="S4" s="52"/>
      <c r="T4" s="68"/>
      <c r="U4" s="52"/>
      <c r="V4" s="69"/>
      <c r="W4" s="55"/>
      <c r="X4" s="64"/>
    </row>
    <row r="5" spans="1:24" s="16" customFormat="1" ht="66.75" customHeight="1" x14ac:dyDescent="0.2">
      <c r="A5" s="48"/>
      <c r="B5" s="49"/>
      <c r="C5" s="52"/>
      <c r="D5" s="56"/>
      <c r="E5" s="56"/>
      <c r="F5" s="56"/>
      <c r="G5" s="56"/>
      <c r="H5" s="56"/>
      <c r="I5" s="61"/>
      <c r="J5" s="67"/>
      <c r="K5" s="67"/>
      <c r="L5" s="67"/>
      <c r="M5" s="67"/>
      <c r="N5" s="71"/>
      <c r="O5" s="71"/>
      <c r="P5" s="71"/>
      <c r="Q5" s="71"/>
      <c r="R5" s="17" t="s">
        <v>7</v>
      </c>
      <c r="S5" s="17" t="s">
        <v>8</v>
      </c>
      <c r="T5" s="17" t="s">
        <v>7</v>
      </c>
      <c r="U5" s="17" t="s">
        <v>8</v>
      </c>
      <c r="V5" s="69"/>
      <c r="W5" s="56"/>
      <c r="X5" s="65"/>
    </row>
    <row r="6" spans="1:24" s="13" customFormat="1" ht="87" x14ac:dyDescent="0.55000000000000004">
      <c r="A6" s="2">
        <v>1</v>
      </c>
      <c r="B6" s="3" t="s">
        <v>61</v>
      </c>
      <c r="C6" s="2" t="s">
        <v>49</v>
      </c>
      <c r="D6" s="2">
        <v>2</v>
      </c>
      <c r="E6" s="2">
        <v>1</v>
      </c>
      <c r="F6" s="3" t="s">
        <v>52</v>
      </c>
      <c r="G6" s="3" t="s">
        <v>35</v>
      </c>
      <c r="H6" s="3" t="s">
        <v>62</v>
      </c>
      <c r="I6" s="4">
        <v>350000</v>
      </c>
      <c r="J6" s="31">
        <f t="shared" ref="J6" si="0">I6*15%</f>
        <v>52500</v>
      </c>
      <c r="K6" s="31">
        <f t="shared" ref="K6" si="1">J6/3</f>
        <v>17500</v>
      </c>
      <c r="L6" s="31">
        <f t="shared" ref="L6" si="2">J6/3</f>
        <v>17500</v>
      </c>
      <c r="M6" s="31">
        <f t="shared" ref="M6" si="3">J6/3</f>
        <v>17500</v>
      </c>
      <c r="N6" s="2" t="s">
        <v>35</v>
      </c>
      <c r="O6" s="2" t="s">
        <v>35</v>
      </c>
      <c r="P6" s="2" t="s">
        <v>35</v>
      </c>
      <c r="Q6" s="2" t="s">
        <v>35</v>
      </c>
      <c r="R6" s="6">
        <v>25085</v>
      </c>
      <c r="S6" s="6">
        <v>26145</v>
      </c>
      <c r="T6" s="6" t="s">
        <v>42</v>
      </c>
      <c r="U6" s="6" t="s">
        <v>42</v>
      </c>
      <c r="V6" s="29" t="s">
        <v>139</v>
      </c>
      <c r="W6" s="28"/>
      <c r="X6" s="28"/>
    </row>
    <row r="7" spans="1:24" s="13" customFormat="1" ht="87" x14ac:dyDescent="0.5">
      <c r="A7" s="2">
        <v>2</v>
      </c>
      <c r="B7" s="3" t="s">
        <v>140</v>
      </c>
      <c r="C7" s="2" t="s">
        <v>142</v>
      </c>
      <c r="D7" s="2">
        <v>3</v>
      </c>
      <c r="E7" s="2" t="s">
        <v>35</v>
      </c>
      <c r="F7" s="3" t="s">
        <v>143</v>
      </c>
      <c r="G7" s="3" t="s">
        <v>141</v>
      </c>
      <c r="H7" s="3" t="s">
        <v>35</v>
      </c>
      <c r="I7" s="4">
        <v>25450</v>
      </c>
      <c r="J7" s="19">
        <f>I7*15%</f>
        <v>3817.5</v>
      </c>
      <c r="K7" s="19">
        <f>J7/3</f>
        <v>1272.5</v>
      </c>
      <c r="L7" s="19">
        <f>J7/3</f>
        <v>1272.5</v>
      </c>
      <c r="M7" s="19">
        <f>J7/3</f>
        <v>1272.5</v>
      </c>
      <c r="N7" s="2" t="s">
        <v>35</v>
      </c>
      <c r="O7" s="2" t="s">
        <v>35</v>
      </c>
      <c r="P7" s="2" t="s">
        <v>35</v>
      </c>
      <c r="Q7" s="2" t="s">
        <v>35</v>
      </c>
      <c r="R7" s="6">
        <v>25085</v>
      </c>
      <c r="S7" s="6">
        <v>25175</v>
      </c>
      <c r="T7" s="6" t="s">
        <v>42</v>
      </c>
      <c r="U7" s="6" t="s">
        <v>42</v>
      </c>
      <c r="V7" s="2" t="s">
        <v>159</v>
      </c>
      <c r="W7" s="32"/>
      <c r="X7" s="3"/>
    </row>
    <row r="8" spans="1:24" s="7" customFormat="1" ht="108.75" x14ac:dyDescent="0.2">
      <c r="A8" s="2">
        <v>3</v>
      </c>
      <c r="B8" s="3" t="s">
        <v>144</v>
      </c>
      <c r="C8" s="2" t="s">
        <v>145</v>
      </c>
      <c r="D8" s="2">
        <v>9</v>
      </c>
      <c r="E8" s="2" t="s">
        <v>35</v>
      </c>
      <c r="F8" s="3" t="s">
        <v>36</v>
      </c>
      <c r="G8" s="2" t="s">
        <v>35</v>
      </c>
      <c r="H8" s="3" t="s">
        <v>146</v>
      </c>
      <c r="I8" s="4">
        <v>4990000</v>
      </c>
      <c r="J8" s="19">
        <f>I8*15%</f>
        <v>748500</v>
      </c>
      <c r="K8" s="19">
        <f>J8/3</f>
        <v>249500</v>
      </c>
      <c r="L8" s="19">
        <f>J8/3</f>
        <v>249500</v>
      </c>
      <c r="M8" s="19">
        <f>J8/3</f>
        <v>249500</v>
      </c>
      <c r="N8" s="3" t="s">
        <v>147</v>
      </c>
      <c r="O8" s="2" t="s">
        <v>35</v>
      </c>
      <c r="P8" s="2" t="s">
        <v>35</v>
      </c>
      <c r="Q8" s="2" t="s">
        <v>35</v>
      </c>
      <c r="R8" s="6">
        <v>25086</v>
      </c>
      <c r="S8" s="6">
        <v>25568</v>
      </c>
      <c r="T8" s="6">
        <v>25159</v>
      </c>
      <c r="U8" s="6">
        <v>25293</v>
      </c>
      <c r="V8" s="2" t="s">
        <v>160</v>
      </c>
      <c r="W8" s="5"/>
      <c r="X8" s="3"/>
    </row>
    <row r="9" spans="1:24" s="7" customFormat="1" ht="130.5" x14ac:dyDescent="0.2">
      <c r="A9" s="2">
        <v>4</v>
      </c>
      <c r="B9" s="3" t="s">
        <v>154</v>
      </c>
      <c r="C9" s="2" t="s">
        <v>156</v>
      </c>
      <c r="D9" s="2">
        <v>2</v>
      </c>
      <c r="E9" s="2" t="s">
        <v>35</v>
      </c>
      <c r="F9" s="3" t="s">
        <v>109</v>
      </c>
      <c r="G9" s="2" t="s">
        <v>35</v>
      </c>
      <c r="H9" s="3" t="s">
        <v>155</v>
      </c>
      <c r="I9" s="4">
        <v>2226210</v>
      </c>
      <c r="J9" s="19">
        <f>I9*15%</f>
        <v>333931.5</v>
      </c>
      <c r="K9" s="19">
        <f>J9/3</f>
        <v>111310.5</v>
      </c>
      <c r="L9" s="19">
        <f>J9/3</f>
        <v>111310.5</v>
      </c>
      <c r="M9" s="19">
        <f>J9/3</f>
        <v>111310.5</v>
      </c>
      <c r="N9" s="3" t="s">
        <v>157</v>
      </c>
      <c r="O9" s="2" t="s">
        <v>35</v>
      </c>
      <c r="P9" s="2" t="s">
        <v>35</v>
      </c>
      <c r="Q9" s="2" t="s">
        <v>35</v>
      </c>
      <c r="R9" s="6">
        <v>25096</v>
      </c>
      <c r="S9" s="6">
        <v>25475</v>
      </c>
      <c r="T9" s="6">
        <v>25180</v>
      </c>
      <c r="U9" s="6">
        <v>25282</v>
      </c>
      <c r="V9" s="2" t="s">
        <v>161</v>
      </c>
      <c r="W9" s="5"/>
      <c r="X9" s="3"/>
    </row>
    <row r="10" spans="1:24" s="13" customFormat="1" ht="107.25" customHeight="1" x14ac:dyDescent="0.55000000000000004">
      <c r="A10" s="2">
        <v>5</v>
      </c>
      <c r="B10" s="3" t="s">
        <v>151</v>
      </c>
      <c r="C10" s="2" t="s">
        <v>150</v>
      </c>
      <c r="D10" s="2">
        <v>2</v>
      </c>
      <c r="E10" s="2" t="s">
        <v>35</v>
      </c>
      <c r="F10" s="3" t="s">
        <v>128</v>
      </c>
      <c r="G10" s="3" t="s">
        <v>35</v>
      </c>
      <c r="H10" s="3" t="s">
        <v>149</v>
      </c>
      <c r="I10" s="4">
        <v>80000</v>
      </c>
      <c r="J10" s="31">
        <f>I10*15%</f>
        <v>12000</v>
      </c>
      <c r="K10" s="31">
        <f>J10/3</f>
        <v>4000</v>
      </c>
      <c r="L10" s="31">
        <f>J10/3</f>
        <v>4000</v>
      </c>
      <c r="M10" s="31">
        <f>J10/3</f>
        <v>4000</v>
      </c>
      <c r="N10" s="2" t="s">
        <v>35</v>
      </c>
      <c r="O10" s="2" t="s">
        <v>35</v>
      </c>
      <c r="P10" s="2" t="s">
        <v>35</v>
      </c>
      <c r="Q10" s="2" t="s">
        <v>35</v>
      </c>
      <c r="R10" s="6">
        <v>25112</v>
      </c>
      <c r="S10" s="6">
        <v>25476</v>
      </c>
      <c r="T10" s="6" t="s">
        <v>35</v>
      </c>
      <c r="U10" s="6" t="s">
        <v>35</v>
      </c>
      <c r="V10" s="2" t="s">
        <v>158</v>
      </c>
      <c r="W10" s="28"/>
      <c r="X10" s="28"/>
    </row>
  </sheetData>
  <mergeCells count="29">
    <mergeCell ref="A1:X1"/>
    <mergeCell ref="A2:X2"/>
    <mergeCell ref="A3:A5"/>
    <mergeCell ref="B3:B5"/>
    <mergeCell ref="C3:C5"/>
    <mergeCell ref="D3:E3"/>
    <mergeCell ref="F3:F5"/>
    <mergeCell ref="G3:H3"/>
    <mergeCell ref="I3:I5"/>
    <mergeCell ref="J3:M3"/>
    <mergeCell ref="X3:X5"/>
    <mergeCell ref="D4:D5"/>
    <mergeCell ref="E4:E5"/>
    <mergeCell ref="G4:G5"/>
    <mergeCell ref="H4:H5"/>
    <mergeCell ref="J4:J5"/>
    <mergeCell ref="K4:K5"/>
    <mergeCell ref="L4:L5"/>
    <mergeCell ref="T3:U4"/>
    <mergeCell ref="V3:V5"/>
    <mergeCell ref="W3:W5"/>
    <mergeCell ref="M4:M5"/>
    <mergeCell ref="N4:N5"/>
    <mergeCell ref="N3:O3"/>
    <mergeCell ref="P3:Q3"/>
    <mergeCell ref="R3:S4"/>
    <mergeCell ref="O4:O5"/>
    <mergeCell ref="P4:P5"/>
    <mergeCell ref="Q4:Q5"/>
  </mergeCells>
  <pageMargins left="0.23622047244094491" right="0" top="0.19685039370078741" bottom="0" header="0.19685039370078741" footer="0"/>
  <pageSetup paperSize="9" scale="58" orientation="landscape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F0A4B-4282-4478-9488-64FA6D29D5F5}">
  <dimension ref="A1:X14"/>
  <sheetViews>
    <sheetView topLeftCell="A10" zoomScaleNormal="100" workbookViewId="0">
      <selection activeCell="B13" sqref="B13"/>
    </sheetView>
  </sheetViews>
  <sheetFormatPr defaultColWidth="9" defaultRowHeight="24" x14ac:dyDescent="0.55000000000000004"/>
  <cols>
    <col min="1" max="1" width="4.875" style="1" customWidth="1"/>
    <col min="2" max="2" width="23.375" style="1" customWidth="1"/>
    <col min="3" max="3" width="17.625" style="8" customWidth="1"/>
    <col min="4" max="4" width="6.375" style="8" customWidth="1"/>
    <col min="5" max="5" width="7.375" style="8" customWidth="1"/>
    <col min="6" max="6" width="15.25" style="9" customWidth="1"/>
    <col min="7" max="7" width="10.75" style="10" customWidth="1"/>
    <col min="8" max="8" width="13.625" style="10" customWidth="1"/>
    <col min="9" max="9" width="12.5" style="1" customWidth="1"/>
    <col min="10" max="10" width="5.875" style="1" customWidth="1"/>
    <col min="11" max="12" width="5.125" style="1" customWidth="1"/>
    <col min="13" max="13" width="4.375" style="1" customWidth="1"/>
    <col min="14" max="14" width="9.125" style="1" customWidth="1"/>
    <col min="15" max="15" width="9.625" style="1" customWidth="1"/>
    <col min="16" max="17" width="8.625" style="1" customWidth="1"/>
    <col min="18" max="18" width="9.75" style="1" customWidth="1"/>
    <col min="19" max="19" width="8.875" style="1" customWidth="1"/>
    <col min="20" max="20" width="8" style="1" customWidth="1"/>
    <col min="21" max="21" width="8.625" style="8" customWidth="1"/>
    <col min="22" max="22" width="10.625" style="1" customWidth="1"/>
    <col min="23" max="23" width="8.125" style="1" customWidth="1"/>
    <col min="24" max="24" width="7.75" style="1" customWidth="1"/>
    <col min="25" max="25" width="10.375" style="1" bestFit="1" customWidth="1"/>
    <col min="26" max="16384" width="9" style="1"/>
  </cols>
  <sheetData>
    <row r="1" spans="1:24" x14ac:dyDescent="0.55000000000000004">
      <c r="A1" s="44" t="s">
        <v>10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</row>
    <row r="2" spans="1:24" ht="24.75" customHeight="1" x14ac:dyDescent="0.55000000000000004">
      <c r="A2" s="45" t="s">
        <v>148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</row>
    <row r="3" spans="1:24" s="16" customFormat="1" ht="24.75" customHeight="1" x14ac:dyDescent="0.2">
      <c r="A3" s="46" t="s">
        <v>9</v>
      </c>
      <c r="B3" s="49" t="s">
        <v>0</v>
      </c>
      <c r="C3" s="50" t="s">
        <v>182</v>
      </c>
      <c r="D3" s="53" t="s">
        <v>1</v>
      </c>
      <c r="E3" s="50"/>
      <c r="F3" s="54" t="s">
        <v>11</v>
      </c>
      <c r="G3" s="57" t="s">
        <v>2</v>
      </c>
      <c r="H3" s="58"/>
      <c r="I3" s="59" t="s">
        <v>3</v>
      </c>
      <c r="J3" s="62" t="s">
        <v>12</v>
      </c>
      <c r="K3" s="62"/>
      <c r="L3" s="62"/>
      <c r="M3" s="62"/>
      <c r="N3" s="72" t="s">
        <v>21</v>
      </c>
      <c r="O3" s="73"/>
      <c r="P3" s="72" t="s">
        <v>24</v>
      </c>
      <c r="Q3" s="73"/>
      <c r="R3" s="53" t="s">
        <v>4</v>
      </c>
      <c r="S3" s="50"/>
      <c r="T3" s="53" t="s">
        <v>5</v>
      </c>
      <c r="U3" s="50"/>
      <c r="V3" s="69" t="s">
        <v>29</v>
      </c>
      <c r="W3" s="54" t="s">
        <v>18</v>
      </c>
      <c r="X3" s="63" t="s">
        <v>6</v>
      </c>
    </row>
    <row r="4" spans="1:24" s="16" customFormat="1" ht="36" customHeight="1" x14ac:dyDescent="0.2">
      <c r="A4" s="47"/>
      <c r="B4" s="49"/>
      <c r="C4" s="51"/>
      <c r="D4" s="54" t="s">
        <v>22</v>
      </c>
      <c r="E4" s="54" t="s">
        <v>23</v>
      </c>
      <c r="F4" s="55"/>
      <c r="G4" s="54" t="s">
        <v>27</v>
      </c>
      <c r="H4" s="54" t="s">
        <v>28</v>
      </c>
      <c r="I4" s="60"/>
      <c r="J4" s="66" t="s">
        <v>14</v>
      </c>
      <c r="K4" s="66" t="s">
        <v>15</v>
      </c>
      <c r="L4" s="66" t="s">
        <v>16</v>
      </c>
      <c r="M4" s="66" t="s">
        <v>17</v>
      </c>
      <c r="N4" s="70" t="s">
        <v>19</v>
      </c>
      <c r="O4" s="70" t="s">
        <v>20</v>
      </c>
      <c r="P4" s="70" t="s">
        <v>25</v>
      </c>
      <c r="Q4" s="70" t="s">
        <v>26</v>
      </c>
      <c r="R4" s="68"/>
      <c r="S4" s="52"/>
      <c r="T4" s="68"/>
      <c r="U4" s="52"/>
      <c r="V4" s="69"/>
      <c r="W4" s="55"/>
      <c r="X4" s="64"/>
    </row>
    <row r="5" spans="1:24" s="16" customFormat="1" ht="66.75" customHeight="1" x14ac:dyDescent="0.2">
      <c r="A5" s="48"/>
      <c r="B5" s="49"/>
      <c r="C5" s="52"/>
      <c r="D5" s="56"/>
      <c r="E5" s="56"/>
      <c r="F5" s="56"/>
      <c r="G5" s="56"/>
      <c r="H5" s="56"/>
      <c r="I5" s="61"/>
      <c r="J5" s="67"/>
      <c r="K5" s="67"/>
      <c r="L5" s="67"/>
      <c r="M5" s="67"/>
      <c r="N5" s="71"/>
      <c r="O5" s="71"/>
      <c r="P5" s="71"/>
      <c r="Q5" s="71"/>
      <c r="R5" s="17" t="s">
        <v>7</v>
      </c>
      <c r="S5" s="17" t="s">
        <v>8</v>
      </c>
      <c r="T5" s="17" t="s">
        <v>7</v>
      </c>
      <c r="U5" s="17" t="s">
        <v>8</v>
      </c>
      <c r="V5" s="69"/>
      <c r="W5" s="56"/>
      <c r="X5" s="65"/>
    </row>
    <row r="6" spans="1:24" s="13" customFormat="1" ht="108.75" x14ac:dyDescent="0.5">
      <c r="A6" s="2">
        <v>1</v>
      </c>
      <c r="B6" s="3" t="s">
        <v>152</v>
      </c>
      <c r="C6" s="2" t="s">
        <v>153</v>
      </c>
      <c r="D6" s="2">
        <v>2</v>
      </c>
      <c r="E6" s="2" t="s">
        <v>35</v>
      </c>
      <c r="F6" s="3" t="s">
        <v>128</v>
      </c>
      <c r="G6" s="3" t="s">
        <v>35</v>
      </c>
      <c r="H6" s="3" t="s">
        <v>149</v>
      </c>
      <c r="I6" s="4">
        <v>100000</v>
      </c>
      <c r="J6" s="31">
        <f>I6*15%</f>
        <v>15000</v>
      </c>
      <c r="K6" s="31">
        <f t="shared" ref="K6:K7" si="0">J6/3</f>
        <v>5000</v>
      </c>
      <c r="L6" s="31">
        <f t="shared" ref="L6:L7" si="1">J6/3</f>
        <v>5000</v>
      </c>
      <c r="M6" s="31">
        <f t="shared" ref="M6:M7" si="2">J6/3</f>
        <v>5000</v>
      </c>
      <c r="N6" s="2" t="s">
        <v>35</v>
      </c>
      <c r="O6" s="2" t="s">
        <v>35</v>
      </c>
      <c r="P6" s="2" t="s">
        <v>35</v>
      </c>
      <c r="Q6" s="2" t="s">
        <v>35</v>
      </c>
      <c r="R6" s="6">
        <v>25112</v>
      </c>
      <c r="S6" s="6">
        <v>25476</v>
      </c>
      <c r="T6" s="6" t="s">
        <v>35</v>
      </c>
      <c r="U6" s="6" t="s">
        <v>35</v>
      </c>
      <c r="V6" s="2" t="s">
        <v>177</v>
      </c>
      <c r="W6" s="32"/>
      <c r="X6" s="3"/>
    </row>
    <row r="7" spans="1:24" s="7" customFormat="1" ht="195.75" x14ac:dyDescent="0.2">
      <c r="A7" s="2">
        <v>2</v>
      </c>
      <c r="B7" s="3" t="s">
        <v>162</v>
      </c>
      <c r="C7" s="2" t="s">
        <v>142</v>
      </c>
      <c r="D7" s="2">
        <v>5</v>
      </c>
      <c r="E7" s="2">
        <v>1</v>
      </c>
      <c r="F7" s="3" t="s">
        <v>143</v>
      </c>
      <c r="G7" s="2" t="s">
        <v>35</v>
      </c>
      <c r="H7" s="3" t="s">
        <v>149</v>
      </c>
      <c r="I7" s="4">
        <v>300000</v>
      </c>
      <c r="J7" s="31">
        <f>I7*15%</f>
        <v>45000</v>
      </c>
      <c r="K7" s="31">
        <f t="shared" si="0"/>
        <v>15000</v>
      </c>
      <c r="L7" s="31">
        <f t="shared" si="1"/>
        <v>15000</v>
      </c>
      <c r="M7" s="31">
        <f t="shared" si="2"/>
        <v>15000</v>
      </c>
      <c r="N7" s="3" t="s">
        <v>163</v>
      </c>
      <c r="O7" s="2" t="s">
        <v>35</v>
      </c>
      <c r="P7" s="2" t="s">
        <v>35</v>
      </c>
      <c r="Q7" s="2" t="s">
        <v>35</v>
      </c>
      <c r="R7" s="6">
        <v>25112</v>
      </c>
      <c r="S7" s="6">
        <v>25476</v>
      </c>
      <c r="T7" s="6">
        <v>25112</v>
      </c>
      <c r="U7" s="6">
        <v>25476</v>
      </c>
      <c r="V7" s="2" t="s">
        <v>178</v>
      </c>
      <c r="W7" s="5"/>
      <c r="X7" s="3"/>
    </row>
    <row r="8" spans="1:24" s="13" customFormat="1" ht="130.5" x14ac:dyDescent="0.5">
      <c r="A8" s="2">
        <v>3</v>
      </c>
      <c r="B8" s="3" t="s">
        <v>175</v>
      </c>
      <c r="C8" s="2" t="s">
        <v>49</v>
      </c>
      <c r="D8" s="2">
        <v>4</v>
      </c>
      <c r="E8" s="2" t="s">
        <v>35</v>
      </c>
      <c r="F8" s="3" t="s">
        <v>52</v>
      </c>
      <c r="G8" s="2" t="s">
        <v>35</v>
      </c>
      <c r="H8" s="3" t="s">
        <v>176</v>
      </c>
      <c r="I8" s="4">
        <v>200000</v>
      </c>
      <c r="J8" s="37">
        <f t="shared" ref="J8:J9" si="3">I8*15%</f>
        <v>30000</v>
      </c>
      <c r="K8" s="37">
        <f t="shared" ref="K8" si="4">J8/3</f>
        <v>10000</v>
      </c>
      <c r="L8" s="37">
        <f t="shared" ref="L8" si="5">J8/3</f>
        <v>10000</v>
      </c>
      <c r="M8" s="37">
        <f t="shared" ref="M8" si="6">J8/3</f>
        <v>10000</v>
      </c>
      <c r="N8" s="2" t="s">
        <v>35</v>
      </c>
      <c r="O8" s="2" t="s">
        <v>35</v>
      </c>
      <c r="P8" s="2" t="s">
        <v>35</v>
      </c>
      <c r="Q8" s="2" t="s">
        <v>35</v>
      </c>
      <c r="R8" s="6">
        <v>25173</v>
      </c>
      <c r="S8" s="6">
        <v>25476</v>
      </c>
      <c r="T8" s="2" t="s">
        <v>42</v>
      </c>
      <c r="U8" s="2" t="s">
        <v>42</v>
      </c>
      <c r="V8" s="2" t="s">
        <v>186</v>
      </c>
      <c r="W8" s="32"/>
      <c r="X8" s="32"/>
    </row>
    <row r="9" spans="1:24" s="7" customFormat="1" ht="87" x14ac:dyDescent="0.2">
      <c r="A9" s="2">
        <v>4</v>
      </c>
      <c r="B9" s="3" t="s">
        <v>181</v>
      </c>
      <c r="C9" s="2" t="s">
        <v>180</v>
      </c>
      <c r="D9" s="2">
        <v>5</v>
      </c>
      <c r="E9" s="2">
        <v>1</v>
      </c>
      <c r="F9" s="3" t="s">
        <v>143</v>
      </c>
      <c r="G9" s="2" t="s">
        <v>35</v>
      </c>
      <c r="H9" s="3" t="s">
        <v>179</v>
      </c>
      <c r="I9" s="4">
        <v>1000000</v>
      </c>
      <c r="J9" s="37">
        <f t="shared" si="3"/>
        <v>150000</v>
      </c>
      <c r="K9" s="37">
        <f>J9/3</f>
        <v>50000</v>
      </c>
      <c r="L9" s="37">
        <f>J9/3</f>
        <v>50000</v>
      </c>
      <c r="M9" s="37">
        <f>J9/3</f>
        <v>50000</v>
      </c>
      <c r="N9" s="2" t="s">
        <v>35</v>
      </c>
      <c r="O9" s="2" t="s">
        <v>35</v>
      </c>
      <c r="P9" s="2" t="s">
        <v>35</v>
      </c>
      <c r="Q9" s="2" t="s">
        <v>35</v>
      </c>
      <c r="R9" s="6">
        <v>25112</v>
      </c>
      <c r="S9" s="6">
        <v>25476</v>
      </c>
      <c r="T9" s="2" t="s">
        <v>42</v>
      </c>
      <c r="U9" s="2" t="s">
        <v>42</v>
      </c>
      <c r="V9" s="2" t="s">
        <v>187</v>
      </c>
      <c r="W9" s="5"/>
      <c r="X9" s="5"/>
    </row>
    <row r="10" spans="1:24" s="7" customFormat="1" ht="130.5" x14ac:dyDescent="0.2">
      <c r="A10" s="2">
        <v>5</v>
      </c>
      <c r="B10" s="3" t="s">
        <v>190</v>
      </c>
      <c r="C10" s="2" t="s">
        <v>192</v>
      </c>
      <c r="D10" s="2">
        <v>5</v>
      </c>
      <c r="E10" s="2">
        <v>7</v>
      </c>
      <c r="F10" s="3" t="s">
        <v>36</v>
      </c>
      <c r="G10" s="2" t="s">
        <v>35</v>
      </c>
      <c r="H10" s="3" t="s">
        <v>193</v>
      </c>
      <c r="I10" s="4">
        <v>24538000</v>
      </c>
      <c r="J10" s="37">
        <f>(I10-W10)*15%</f>
        <v>900000</v>
      </c>
      <c r="K10" s="37">
        <f>J10/3</f>
        <v>300000</v>
      </c>
      <c r="L10" s="37">
        <f>J10/3</f>
        <v>300000</v>
      </c>
      <c r="M10" s="37">
        <f>J10/3</f>
        <v>300000</v>
      </c>
      <c r="N10" s="41" t="s">
        <v>194</v>
      </c>
      <c r="O10" s="2" t="s">
        <v>35</v>
      </c>
      <c r="P10" s="2" t="s">
        <v>35</v>
      </c>
      <c r="Q10" s="2" t="s">
        <v>35</v>
      </c>
      <c r="R10" s="6">
        <v>25121</v>
      </c>
      <c r="S10" s="6">
        <v>26144</v>
      </c>
      <c r="T10" s="6">
        <v>25509</v>
      </c>
      <c r="U10" s="6">
        <v>25688</v>
      </c>
      <c r="V10" s="2" t="s">
        <v>188</v>
      </c>
      <c r="W10" s="42">
        <v>18538000</v>
      </c>
      <c r="X10" s="2" t="s">
        <v>195</v>
      </c>
    </row>
    <row r="11" spans="1:24" s="7" customFormat="1" ht="130.5" x14ac:dyDescent="0.2">
      <c r="A11" s="2">
        <v>6</v>
      </c>
      <c r="B11" s="3" t="s">
        <v>191</v>
      </c>
      <c r="C11" s="2" t="s">
        <v>192</v>
      </c>
      <c r="D11" s="2">
        <v>5</v>
      </c>
      <c r="E11" s="2">
        <v>7</v>
      </c>
      <c r="F11" s="3" t="s">
        <v>36</v>
      </c>
      <c r="G11" s="2" t="s">
        <v>35</v>
      </c>
      <c r="H11" s="3" t="s">
        <v>193</v>
      </c>
      <c r="I11" s="4">
        <v>24854700</v>
      </c>
      <c r="J11" s="31">
        <f>(I11-W11)*15%</f>
        <v>900000</v>
      </c>
      <c r="K11" s="31">
        <f>J11/3</f>
        <v>300000</v>
      </c>
      <c r="L11" s="31">
        <f>J11/3</f>
        <v>300000</v>
      </c>
      <c r="M11" s="31">
        <f>J11/3</f>
        <v>300000</v>
      </c>
      <c r="N11" s="41" t="s">
        <v>194</v>
      </c>
      <c r="O11" s="2" t="s">
        <v>35</v>
      </c>
      <c r="P11" s="2" t="s">
        <v>35</v>
      </c>
      <c r="Q11" s="2" t="s">
        <v>35</v>
      </c>
      <c r="R11" s="6">
        <v>25121</v>
      </c>
      <c r="S11" s="6">
        <v>26144</v>
      </c>
      <c r="T11" s="6">
        <v>25509</v>
      </c>
      <c r="U11" s="6">
        <v>25688</v>
      </c>
      <c r="V11" s="2" t="s">
        <v>189</v>
      </c>
      <c r="W11" s="42">
        <v>18854700</v>
      </c>
      <c r="X11" s="2" t="s">
        <v>195</v>
      </c>
    </row>
    <row r="12" spans="1:24" s="7" customFormat="1" ht="108.75" x14ac:dyDescent="0.2">
      <c r="A12" s="2">
        <v>7</v>
      </c>
      <c r="B12" s="3" t="s">
        <v>164</v>
      </c>
      <c r="C12" s="2" t="s">
        <v>166</v>
      </c>
      <c r="D12" s="2">
        <v>2</v>
      </c>
      <c r="E12" s="2" t="s">
        <v>35</v>
      </c>
      <c r="F12" s="3" t="s">
        <v>38</v>
      </c>
      <c r="G12" s="2" t="s">
        <v>35</v>
      </c>
      <c r="H12" s="3" t="s">
        <v>165</v>
      </c>
      <c r="I12" s="36">
        <v>499200</v>
      </c>
      <c r="J12" s="37">
        <f t="shared" ref="J12" si="7">I12*15%</f>
        <v>74880</v>
      </c>
      <c r="K12" s="37">
        <f>J12/3</f>
        <v>24960</v>
      </c>
      <c r="L12" s="37">
        <f>J12/3</f>
        <v>24960</v>
      </c>
      <c r="M12" s="37">
        <f>J12/3</f>
        <v>24960</v>
      </c>
      <c r="N12" s="2" t="s">
        <v>35</v>
      </c>
      <c r="O12" s="2" t="s">
        <v>35</v>
      </c>
      <c r="P12" s="2" t="s">
        <v>35</v>
      </c>
      <c r="Q12" s="2" t="s">
        <v>35</v>
      </c>
      <c r="R12" s="6">
        <v>25112</v>
      </c>
      <c r="S12" s="6">
        <v>25567</v>
      </c>
      <c r="T12" s="2" t="s">
        <v>42</v>
      </c>
      <c r="U12" s="2" t="s">
        <v>42</v>
      </c>
      <c r="V12" s="2" t="s">
        <v>196</v>
      </c>
      <c r="W12" s="5"/>
      <c r="X12" s="5"/>
    </row>
    <row r="13" spans="1:24" s="7" customFormat="1" ht="130.5" x14ac:dyDescent="0.2">
      <c r="A13" s="2">
        <v>8</v>
      </c>
      <c r="B13" s="3" t="s">
        <v>184</v>
      </c>
      <c r="C13" s="2" t="s">
        <v>183</v>
      </c>
      <c r="D13" s="2">
        <v>17</v>
      </c>
      <c r="E13" s="2" t="s">
        <v>35</v>
      </c>
      <c r="F13" s="3" t="s">
        <v>109</v>
      </c>
      <c r="G13" s="2" t="s">
        <v>35</v>
      </c>
      <c r="H13" s="3" t="s">
        <v>179</v>
      </c>
      <c r="I13" s="4">
        <v>1000000</v>
      </c>
      <c r="J13" s="37">
        <f t="shared" ref="J13" si="8">I13*15%</f>
        <v>150000</v>
      </c>
      <c r="K13" s="37">
        <f>J13/3</f>
        <v>50000</v>
      </c>
      <c r="L13" s="37">
        <f>J13/3</f>
        <v>50000</v>
      </c>
      <c r="M13" s="37">
        <f>J13/3</f>
        <v>50000</v>
      </c>
      <c r="N13" s="3" t="s">
        <v>185</v>
      </c>
      <c r="O13" s="2" t="s">
        <v>35</v>
      </c>
      <c r="P13" s="2" t="s">
        <v>35</v>
      </c>
      <c r="Q13" s="2" t="s">
        <v>35</v>
      </c>
      <c r="R13" s="6">
        <v>25143</v>
      </c>
      <c r="S13" s="6">
        <v>25507</v>
      </c>
      <c r="T13" s="6">
        <v>25143</v>
      </c>
      <c r="U13" s="6">
        <v>25293</v>
      </c>
      <c r="V13" s="2" t="s">
        <v>197</v>
      </c>
      <c r="W13" s="5"/>
      <c r="X13" s="5"/>
    </row>
    <row r="14" spans="1:24" x14ac:dyDescent="0.55000000000000004">
      <c r="D14" s="10"/>
    </row>
  </sheetData>
  <mergeCells count="29">
    <mergeCell ref="K4:K5"/>
    <mergeCell ref="L4:L5"/>
    <mergeCell ref="T3:U4"/>
    <mergeCell ref="V3:V5"/>
    <mergeCell ref="W3:W5"/>
    <mergeCell ref="M4:M5"/>
    <mergeCell ref="N4:N5"/>
    <mergeCell ref="N3:O3"/>
    <mergeCell ref="P3:Q3"/>
    <mergeCell ref="R3:S4"/>
    <mergeCell ref="O4:O5"/>
    <mergeCell ref="P4:P5"/>
    <mergeCell ref="Q4:Q5"/>
    <mergeCell ref="A1:X1"/>
    <mergeCell ref="A2:X2"/>
    <mergeCell ref="A3:A5"/>
    <mergeCell ref="B3:B5"/>
    <mergeCell ref="C3:C5"/>
    <mergeCell ref="D3:E3"/>
    <mergeCell ref="F3:F5"/>
    <mergeCell ref="G3:H3"/>
    <mergeCell ref="I3:I5"/>
    <mergeCell ref="J3:M3"/>
    <mergeCell ref="X3:X5"/>
    <mergeCell ref="D4:D5"/>
    <mergeCell ref="E4:E5"/>
    <mergeCell ref="G4:G5"/>
    <mergeCell ref="H4:H5"/>
    <mergeCell ref="J4:J5"/>
  </mergeCells>
  <pageMargins left="0.23622047244094491" right="0" top="0.19685039370078741" bottom="0" header="0.19685039370078741" footer="0"/>
  <pageSetup paperSize="9" scale="58" orientation="landscape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D83E6-E1B7-4CB8-B057-A962FD5232F0}">
  <dimension ref="A1:X20"/>
  <sheetViews>
    <sheetView tabSelected="1" topLeftCell="A12" zoomScale="90" zoomScaleNormal="90" workbookViewId="0">
      <selection activeCell="I13" sqref="I13"/>
    </sheetView>
  </sheetViews>
  <sheetFormatPr defaultColWidth="9" defaultRowHeight="24" x14ac:dyDescent="0.55000000000000004"/>
  <cols>
    <col min="1" max="1" width="4.875" style="1" customWidth="1"/>
    <col min="2" max="2" width="23.375" style="1" customWidth="1"/>
    <col min="3" max="3" width="19.125" style="8" customWidth="1"/>
    <col min="4" max="4" width="6.375" style="8" customWidth="1"/>
    <col min="5" max="5" width="7.375" style="8" customWidth="1"/>
    <col min="6" max="6" width="15.25" style="9" customWidth="1"/>
    <col min="7" max="7" width="10.75" style="10" customWidth="1"/>
    <col min="8" max="8" width="13.625" style="10" customWidth="1"/>
    <col min="9" max="9" width="12.5" style="1" customWidth="1"/>
    <col min="10" max="10" width="5.875" style="1" customWidth="1"/>
    <col min="11" max="12" width="5.125" style="1" customWidth="1"/>
    <col min="13" max="13" width="4.375" style="1" customWidth="1"/>
    <col min="14" max="14" width="9.125" style="1" customWidth="1"/>
    <col min="15" max="15" width="9.625" style="1" customWidth="1"/>
    <col min="16" max="17" width="8.625" style="1" customWidth="1"/>
    <col min="18" max="18" width="9.75" style="1" customWidth="1"/>
    <col min="19" max="19" width="8.875" style="1" customWidth="1"/>
    <col min="20" max="20" width="8" style="1" customWidth="1"/>
    <col min="21" max="21" width="8.625" style="8" customWidth="1"/>
    <col min="22" max="22" width="10.625" style="1" customWidth="1"/>
    <col min="23" max="23" width="8.25" style="1" customWidth="1"/>
    <col min="24" max="24" width="7.25" style="1" customWidth="1"/>
    <col min="25" max="25" width="10.375" style="1" bestFit="1" customWidth="1"/>
    <col min="26" max="16384" width="9" style="1"/>
  </cols>
  <sheetData>
    <row r="1" spans="1:24" x14ac:dyDescent="0.55000000000000004">
      <c r="A1" s="44" t="s">
        <v>10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</row>
    <row r="2" spans="1:24" ht="24.75" customHeight="1" x14ac:dyDescent="0.55000000000000004">
      <c r="A2" s="45" t="s">
        <v>198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</row>
    <row r="3" spans="1:24" s="16" customFormat="1" ht="24.75" customHeight="1" x14ac:dyDescent="0.2">
      <c r="A3" s="46" t="s">
        <v>9</v>
      </c>
      <c r="B3" s="49" t="s">
        <v>0</v>
      </c>
      <c r="C3" s="50" t="s">
        <v>182</v>
      </c>
      <c r="D3" s="53" t="s">
        <v>1</v>
      </c>
      <c r="E3" s="50"/>
      <c r="F3" s="54" t="s">
        <v>11</v>
      </c>
      <c r="G3" s="57" t="s">
        <v>2</v>
      </c>
      <c r="H3" s="58"/>
      <c r="I3" s="59" t="s">
        <v>3</v>
      </c>
      <c r="J3" s="62" t="s">
        <v>12</v>
      </c>
      <c r="K3" s="62"/>
      <c r="L3" s="62"/>
      <c r="M3" s="62"/>
      <c r="N3" s="72" t="s">
        <v>21</v>
      </c>
      <c r="O3" s="73"/>
      <c r="P3" s="72" t="s">
        <v>24</v>
      </c>
      <c r="Q3" s="73"/>
      <c r="R3" s="53" t="s">
        <v>4</v>
      </c>
      <c r="S3" s="50"/>
      <c r="T3" s="53" t="s">
        <v>5</v>
      </c>
      <c r="U3" s="50"/>
      <c r="V3" s="69" t="s">
        <v>29</v>
      </c>
      <c r="W3" s="54" t="s">
        <v>18</v>
      </c>
      <c r="X3" s="63" t="s">
        <v>6</v>
      </c>
    </row>
    <row r="4" spans="1:24" s="16" customFormat="1" ht="36" customHeight="1" x14ac:dyDescent="0.2">
      <c r="A4" s="47"/>
      <c r="B4" s="49"/>
      <c r="C4" s="51"/>
      <c r="D4" s="54" t="s">
        <v>22</v>
      </c>
      <c r="E4" s="54" t="s">
        <v>23</v>
      </c>
      <c r="F4" s="55"/>
      <c r="G4" s="54" t="s">
        <v>27</v>
      </c>
      <c r="H4" s="54" t="s">
        <v>28</v>
      </c>
      <c r="I4" s="60"/>
      <c r="J4" s="66" t="s">
        <v>14</v>
      </c>
      <c r="K4" s="66" t="s">
        <v>15</v>
      </c>
      <c r="L4" s="66" t="s">
        <v>16</v>
      </c>
      <c r="M4" s="66" t="s">
        <v>17</v>
      </c>
      <c r="N4" s="70" t="s">
        <v>19</v>
      </c>
      <c r="O4" s="70" t="s">
        <v>20</v>
      </c>
      <c r="P4" s="70" t="s">
        <v>25</v>
      </c>
      <c r="Q4" s="70" t="s">
        <v>26</v>
      </c>
      <c r="R4" s="68"/>
      <c r="S4" s="52"/>
      <c r="T4" s="68"/>
      <c r="U4" s="52"/>
      <c r="V4" s="69"/>
      <c r="W4" s="55"/>
      <c r="X4" s="64"/>
    </row>
    <row r="5" spans="1:24" s="16" customFormat="1" ht="66.75" customHeight="1" x14ac:dyDescent="0.2">
      <c r="A5" s="48"/>
      <c r="B5" s="49"/>
      <c r="C5" s="52"/>
      <c r="D5" s="56"/>
      <c r="E5" s="56"/>
      <c r="F5" s="56"/>
      <c r="G5" s="56"/>
      <c r="H5" s="56"/>
      <c r="I5" s="61"/>
      <c r="J5" s="67"/>
      <c r="K5" s="67"/>
      <c r="L5" s="67"/>
      <c r="M5" s="67"/>
      <c r="N5" s="71"/>
      <c r="O5" s="71"/>
      <c r="P5" s="71"/>
      <c r="Q5" s="71"/>
      <c r="R5" s="17" t="s">
        <v>7</v>
      </c>
      <c r="S5" s="17" t="s">
        <v>8</v>
      </c>
      <c r="T5" s="17" t="s">
        <v>7</v>
      </c>
      <c r="U5" s="17" t="s">
        <v>8</v>
      </c>
      <c r="V5" s="69"/>
      <c r="W5" s="56"/>
      <c r="X5" s="65"/>
    </row>
    <row r="6" spans="1:24" s="13" customFormat="1" ht="108.75" x14ac:dyDescent="0.5">
      <c r="A6" s="2">
        <v>1</v>
      </c>
      <c r="B6" s="3" t="s">
        <v>199</v>
      </c>
      <c r="C6" s="2" t="s">
        <v>202</v>
      </c>
      <c r="D6" s="2">
        <v>25</v>
      </c>
      <c r="E6" s="2" t="s">
        <v>35</v>
      </c>
      <c r="F6" s="3" t="s">
        <v>128</v>
      </c>
      <c r="G6" s="3" t="s">
        <v>35</v>
      </c>
      <c r="H6" s="3" t="s">
        <v>200</v>
      </c>
      <c r="I6" s="4">
        <v>500000</v>
      </c>
      <c r="J6" s="31">
        <f>I6*15%</f>
        <v>75000</v>
      </c>
      <c r="K6" s="31">
        <f t="shared" ref="K6" si="0">J6/3</f>
        <v>25000</v>
      </c>
      <c r="L6" s="31">
        <f t="shared" ref="L6" si="1">J6/3</f>
        <v>25000</v>
      </c>
      <c r="M6" s="31">
        <f t="shared" ref="M6" si="2">J6/3</f>
        <v>25000</v>
      </c>
      <c r="N6" s="2" t="s">
        <v>35</v>
      </c>
      <c r="O6" s="2" t="s">
        <v>35</v>
      </c>
      <c r="P6" s="2" t="s">
        <v>35</v>
      </c>
      <c r="Q6" s="2" t="s">
        <v>35</v>
      </c>
      <c r="R6" s="6">
        <v>25143</v>
      </c>
      <c r="S6" s="6">
        <v>25476</v>
      </c>
      <c r="T6" s="6" t="s">
        <v>35</v>
      </c>
      <c r="U6" s="6" t="s">
        <v>35</v>
      </c>
      <c r="V6" s="35" t="s">
        <v>201</v>
      </c>
      <c r="W6" s="32"/>
      <c r="X6" s="3"/>
    </row>
    <row r="7" spans="1:24" s="7" customFormat="1" ht="87" x14ac:dyDescent="0.2">
      <c r="A7" s="2">
        <v>2</v>
      </c>
      <c r="B7" s="3" t="s">
        <v>203</v>
      </c>
      <c r="C7" s="2" t="s">
        <v>192</v>
      </c>
      <c r="D7" s="2">
        <v>4</v>
      </c>
      <c r="E7" s="2" t="s">
        <v>35</v>
      </c>
      <c r="F7" s="3" t="s">
        <v>36</v>
      </c>
      <c r="G7" s="2" t="s">
        <v>35</v>
      </c>
      <c r="H7" s="3" t="s">
        <v>204</v>
      </c>
      <c r="I7" s="4">
        <v>20000000</v>
      </c>
      <c r="J7" s="31">
        <f>I7*15%</f>
        <v>3000000</v>
      </c>
      <c r="K7" s="31">
        <f t="shared" ref="K7" si="3">J7/3</f>
        <v>1000000</v>
      </c>
      <c r="L7" s="31">
        <f t="shared" ref="L7" si="4">J7/3</f>
        <v>1000000</v>
      </c>
      <c r="M7" s="31">
        <f t="shared" ref="M7" si="5">J7/3</f>
        <v>1000000</v>
      </c>
      <c r="N7" s="3" t="s">
        <v>35</v>
      </c>
      <c r="O7" s="2" t="s">
        <v>35</v>
      </c>
      <c r="P7" s="2" t="s">
        <v>35</v>
      </c>
      <c r="Q7" s="2" t="s">
        <v>35</v>
      </c>
      <c r="R7" s="6">
        <v>25154</v>
      </c>
      <c r="S7" s="6">
        <v>25749</v>
      </c>
      <c r="T7" s="6" t="s">
        <v>35</v>
      </c>
      <c r="U7" s="6" t="s">
        <v>35</v>
      </c>
      <c r="V7" s="2"/>
      <c r="W7" s="5"/>
      <c r="X7" s="3"/>
    </row>
    <row r="8" spans="1:24" s="13" customFormat="1" ht="261" x14ac:dyDescent="0.5">
      <c r="A8" s="2">
        <v>3</v>
      </c>
      <c r="B8" s="3" t="s">
        <v>205</v>
      </c>
      <c r="C8" s="2" t="s">
        <v>206</v>
      </c>
      <c r="D8" s="2" t="s">
        <v>35</v>
      </c>
      <c r="E8" s="2">
        <v>8</v>
      </c>
      <c r="F8" s="3" t="s">
        <v>102</v>
      </c>
      <c r="G8" s="2" t="s">
        <v>35</v>
      </c>
      <c r="H8" s="3" t="s">
        <v>207</v>
      </c>
      <c r="I8" s="4">
        <v>6190200</v>
      </c>
      <c r="J8" s="31">
        <f>I8*15%</f>
        <v>928530</v>
      </c>
      <c r="K8" s="31">
        <f t="shared" ref="K8:K12" si="6">J8/3</f>
        <v>309510</v>
      </c>
      <c r="L8" s="31">
        <f t="shared" ref="L8:L12" si="7">J8/3</f>
        <v>309510</v>
      </c>
      <c r="M8" s="31">
        <f t="shared" ref="M8:M12" si="8">J8/3</f>
        <v>309510</v>
      </c>
      <c r="N8" s="3" t="s">
        <v>208</v>
      </c>
      <c r="O8" s="2" t="s">
        <v>35</v>
      </c>
      <c r="P8" s="2" t="s">
        <v>35</v>
      </c>
      <c r="Q8" s="2" t="s">
        <v>35</v>
      </c>
      <c r="R8" s="6">
        <v>25155</v>
      </c>
      <c r="S8" s="6">
        <v>25519</v>
      </c>
      <c r="T8" s="6">
        <v>244157</v>
      </c>
      <c r="U8" s="6">
        <v>25657</v>
      </c>
      <c r="V8" s="2"/>
      <c r="W8" s="32"/>
      <c r="X8" s="32"/>
    </row>
    <row r="9" spans="1:24" ht="130.5" x14ac:dyDescent="0.55000000000000004">
      <c r="A9" s="2">
        <v>4</v>
      </c>
      <c r="B9" s="3" t="s">
        <v>167</v>
      </c>
      <c r="C9" s="2" t="s">
        <v>145</v>
      </c>
      <c r="D9" s="2">
        <v>10</v>
      </c>
      <c r="E9" s="2">
        <v>3</v>
      </c>
      <c r="F9" s="3" t="s">
        <v>36</v>
      </c>
      <c r="G9" s="2" t="s">
        <v>35</v>
      </c>
      <c r="H9" s="2" t="s">
        <v>74</v>
      </c>
      <c r="I9" s="36">
        <v>18100000</v>
      </c>
      <c r="J9" s="31">
        <f>(I9-W9)*15%</f>
        <v>2609355</v>
      </c>
      <c r="K9" s="31">
        <f t="shared" si="6"/>
        <v>869785</v>
      </c>
      <c r="L9" s="31">
        <f t="shared" si="7"/>
        <v>869785</v>
      </c>
      <c r="M9" s="31">
        <f t="shared" si="8"/>
        <v>869785</v>
      </c>
      <c r="N9" s="3" t="s">
        <v>168</v>
      </c>
      <c r="O9" s="2" t="s">
        <v>35</v>
      </c>
      <c r="P9" s="2" t="s">
        <v>35</v>
      </c>
      <c r="Q9" s="2" t="s">
        <v>35</v>
      </c>
      <c r="R9" s="6">
        <v>25103</v>
      </c>
      <c r="S9" s="6">
        <v>25568</v>
      </c>
      <c r="T9" s="38">
        <v>25104</v>
      </c>
      <c r="U9" s="38">
        <v>25476</v>
      </c>
      <c r="V9" s="5"/>
      <c r="W9" s="39">
        <v>704300</v>
      </c>
      <c r="X9" s="5"/>
    </row>
    <row r="10" spans="1:24" s="7" customFormat="1" ht="108.75" x14ac:dyDescent="0.2">
      <c r="A10" s="2">
        <v>5</v>
      </c>
      <c r="B10" s="3" t="s">
        <v>169</v>
      </c>
      <c r="C10" s="2" t="s">
        <v>145</v>
      </c>
      <c r="D10" s="2">
        <v>8</v>
      </c>
      <c r="E10" s="2">
        <v>3</v>
      </c>
      <c r="F10" s="3" t="s">
        <v>36</v>
      </c>
      <c r="G10" s="3" t="s">
        <v>170</v>
      </c>
      <c r="H10" s="2" t="s">
        <v>35</v>
      </c>
      <c r="I10" s="4">
        <v>8000000</v>
      </c>
      <c r="J10" s="40">
        <f t="shared" ref="J10:J12" si="9">I10*15%</f>
        <v>1200000</v>
      </c>
      <c r="K10" s="40">
        <f t="shared" si="6"/>
        <v>400000</v>
      </c>
      <c r="L10" s="40">
        <f t="shared" si="7"/>
        <v>400000</v>
      </c>
      <c r="M10" s="40">
        <f t="shared" si="8"/>
        <v>400000</v>
      </c>
      <c r="N10" s="3" t="s">
        <v>171</v>
      </c>
      <c r="O10" s="2" t="s">
        <v>35</v>
      </c>
      <c r="P10" s="2" t="s">
        <v>35</v>
      </c>
      <c r="Q10" s="2" t="s">
        <v>35</v>
      </c>
      <c r="R10" s="6">
        <v>25105</v>
      </c>
      <c r="S10" s="6">
        <v>25568</v>
      </c>
      <c r="T10" s="6">
        <v>25106</v>
      </c>
      <c r="U10" s="6">
        <v>25352</v>
      </c>
      <c r="V10" s="5"/>
      <c r="W10" s="5"/>
      <c r="X10" s="5"/>
    </row>
    <row r="11" spans="1:24" s="7" customFormat="1" ht="65.25" x14ac:dyDescent="0.2">
      <c r="A11" s="2">
        <v>6</v>
      </c>
      <c r="B11" s="3" t="s">
        <v>172</v>
      </c>
      <c r="C11" s="2" t="s">
        <v>145</v>
      </c>
      <c r="D11" s="2">
        <v>7</v>
      </c>
      <c r="E11" s="2" t="s">
        <v>35</v>
      </c>
      <c r="F11" s="3" t="s">
        <v>36</v>
      </c>
      <c r="G11" s="2" t="s">
        <v>35</v>
      </c>
      <c r="H11" s="3" t="s">
        <v>173</v>
      </c>
      <c r="I11" s="4">
        <v>2500000</v>
      </c>
      <c r="J11" s="40">
        <f t="shared" si="9"/>
        <v>375000</v>
      </c>
      <c r="K11" s="40">
        <f t="shared" si="6"/>
        <v>125000</v>
      </c>
      <c r="L11" s="40">
        <f t="shared" si="7"/>
        <v>125000</v>
      </c>
      <c r="M11" s="40">
        <f t="shared" si="8"/>
        <v>125000</v>
      </c>
      <c r="N11" s="3" t="s">
        <v>174</v>
      </c>
      <c r="O11" s="2" t="s">
        <v>35</v>
      </c>
      <c r="P11" s="2" t="s">
        <v>35</v>
      </c>
      <c r="Q11" s="2" t="s">
        <v>35</v>
      </c>
      <c r="R11" s="6">
        <v>25106</v>
      </c>
      <c r="S11" s="6">
        <v>25476</v>
      </c>
      <c r="T11" s="6">
        <v>25110</v>
      </c>
      <c r="U11" s="6">
        <v>25303</v>
      </c>
      <c r="V11" s="5"/>
      <c r="W11" s="5"/>
      <c r="X11" s="5"/>
    </row>
    <row r="12" spans="1:24" s="7" customFormat="1" ht="217.5" x14ac:dyDescent="0.2">
      <c r="A12" s="2">
        <v>7</v>
      </c>
      <c r="B12" s="3" t="s">
        <v>209</v>
      </c>
      <c r="C12" s="2" t="s">
        <v>211</v>
      </c>
      <c r="D12" s="2">
        <v>7</v>
      </c>
      <c r="E12" s="2" t="s">
        <v>35</v>
      </c>
      <c r="F12" s="3" t="s">
        <v>36</v>
      </c>
      <c r="G12" s="2" t="s">
        <v>35</v>
      </c>
      <c r="H12" s="3" t="s">
        <v>41</v>
      </c>
      <c r="I12" s="4">
        <v>10000000</v>
      </c>
      <c r="J12" s="37">
        <f t="shared" si="9"/>
        <v>1500000</v>
      </c>
      <c r="K12" s="37">
        <f t="shared" si="6"/>
        <v>500000</v>
      </c>
      <c r="L12" s="37">
        <f t="shared" si="7"/>
        <v>500000</v>
      </c>
      <c r="M12" s="37">
        <f t="shared" si="8"/>
        <v>500000</v>
      </c>
      <c r="N12" s="3" t="s">
        <v>210</v>
      </c>
      <c r="O12" s="2" t="s">
        <v>35</v>
      </c>
      <c r="P12" s="2" t="s">
        <v>35</v>
      </c>
      <c r="Q12" s="2" t="s">
        <v>35</v>
      </c>
      <c r="R12" s="6">
        <v>25126</v>
      </c>
      <c r="S12" s="6">
        <v>25491</v>
      </c>
      <c r="T12" s="6">
        <v>25126</v>
      </c>
      <c r="U12" s="6">
        <v>25491</v>
      </c>
      <c r="V12" s="2"/>
      <c r="W12" s="5"/>
      <c r="X12" s="5"/>
    </row>
    <row r="13" spans="1:24" s="7" customFormat="1" ht="108.75" x14ac:dyDescent="0.2">
      <c r="A13" s="2">
        <v>8</v>
      </c>
      <c r="B13" s="3" t="s">
        <v>212</v>
      </c>
      <c r="C13" s="2" t="s">
        <v>40</v>
      </c>
      <c r="D13" s="2">
        <v>13</v>
      </c>
      <c r="E13" s="2">
        <v>20</v>
      </c>
      <c r="F13" s="3" t="s">
        <v>38</v>
      </c>
      <c r="G13" s="2" t="s">
        <v>35</v>
      </c>
      <c r="H13" s="3" t="s">
        <v>41</v>
      </c>
      <c r="I13" s="4">
        <v>20000000</v>
      </c>
      <c r="J13" s="37">
        <f t="shared" ref="J13" si="10">I13*15%</f>
        <v>3000000</v>
      </c>
      <c r="K13" s="37">
        <f t="shared" ref="K13" si="11">J13/3</f>
        <v>1000000</v>
      </c>
      <c r="L13" s="37">
        <f t="shared" ref="L13" si="12">J13/3</f>
        <v>1000000</v>
      </c>
      <c r="M13" s="37">
        <f t="shared" ref="M13" si="13">J13/3</f>
        <v>1000000</v>
      </c>
      <c r="N13" s="41" t="s">
        <v>35</v>
      </c>
      <c r="O13" s="2" t="s">
        <v>35</v>
      </c>
      <c r="P13" s="2" t="s">
        <v>35</v>
      </c>
      <c r="Q13" s="2" t="s">
        <v>35</v>
      </c>
      <c r="R13" s="6">
        <v>25126</v>
      </c>
      <c r="S13" s="6">
        <v>25491</v>
      </c>
      <c r="T13" s="6" t="s">
        <v>35</v>
      </c>
      <c r="U13" s="6" t="s">
        <v>35</v>
      </c>
      <c r="V13" s="2"/>
      <c r="W13" s="42"/>
      <c r="X13" s="2"/>
    </row>
    <row r="14" spans="1:24" s="7" customFormat="1" ht="130.5" x14ac:dyDescent="0.2">
      <c r="A14" s="2">
        <v>9</v>
      </c>
      <c r="B14" s="3" t="s">
        <v>213</v>
      </c>
      <c r="C14" s="2" t="s">
        <v>145</v>
      </c>
      <c r="D14" s="2">
        <v>7</v>
      </c>
      <c r="E14" s="2">
        <v>4</v>
      </c>
      <c r="F14" s="3" t="s">
        <v>36</v>
      </c>
      <c r="G14" s="2" t="s">
        <v>35</v>
      </c>
      <c r="H14" s="3" t="s">
        <v>41</v>
      </c>
      <c r="I14" s="4">
        <v>15000000</v>
      </c>
      <c r="J14" s="37">
        <f t="shared" ref="J14:J19" si="14">I14*15%</f>
        <v>2250000</v>
      </c>
      <c r="K14" s="37">
        <f t="shared" ref="K14:K19" si="15">J14/3</f>
        <v>750000</v>
      </c>
      <c r="L14" s="37">
        <f t="shared" ref="L14:L19" si="16">J14/3</f>
        <v>750000</v>
      </c>
      <c r="M14" s="37">
        <f t="shared" ref="M14:M19" si="17">J14/3</f>
        <v>750000</v>
      </c>
      <c r="N14" s="41" t="s">
        <v>214</v>
      </c>
      <c r="O14" s="2" t="s">
        <v>35</v>
      </c>
      <c r="P14" s="2" t="s">
        <v>35</v>
      </c>
      <c r="Q14" s="2" t="s">
        <v>35</v>
      </c>
      <c r="R14" s="6">
        <v>25112</v>
      </c>
      <c r="S14" s="6">
        <v>25568</v>
      </c>
      <c r="T14" s="6">
        <v>25166</v>
      </c>
      <c r="U14" s="6">
        <v>25485</v>
      </c>
      <c r="V14" s="2"/>
      <c r="W14" s="39">
        <v>1970000</v>
      </c>
      <c r="X14" s="43"/>
    </row>
    <row r="15" spans="1:24" s="7" customFormat="1" ht="130.5" x14ac:dyDescent="0.2">
      <c r="A15" s="2">
        <v>10</v>
      </c>
      <c r="B15" s="3" t="s">
        <v>215</v>
      </c>
      <c r="C15" s="2" t="s">
        <v>145</v>
      </c>
      <c r="D15" s="2">
        <v>6</v>
      </c>
      <c r="E15" s="2">
        <v>1</v>
      </c>
      <c r="F15" s="3" t="s">
        <v>36</v>
      </c>
      <c r="G15" s="2" t="s">
        <v>35</v>
      </c>
      <c r="H15" s="3" t="s">
        <v>64</v>
      </c>
      <c r="I15" s="36">
        <v>2000000</v>
      </c>
      <c r="J15" s="37">
        <f t="shared" si="14"/>
        <v>300000</v>
      </c>
      <c r="K15" s="37">
        <f t="shared" si="15"/>
        <v>100000</v>
      </c>
      <c r="L15" s="37">
        <f t="shared" si="16"/>
        <v>100000</v>
      </c>
      <c r="M15" s="37">
        <f t="shared" si="17"/>
        <v>100000</v>
      </c>
      <c r="N15" s="3" t="s">
        <v>216</v>
      </c>
      <c r="O15" s="2" t="s">
        <v>35</v>
      </c>
      <c r="P15" s="2" t="s">
        <v>35</v>
      </c>
      <c r="Q15" s="2" t="s">
        <v>35</v>
      </c>
      <c r="R15" s="6">
        <v>25152</v>
      </c>
      <c r="S15" s="6">
        <v>26664</v>
      </c>
      <c r="T15" s="6">
        <v>25112</v>
      </c>
      <c r="U15" s="6">
        <v>25568</v>
      </c>
      <c r="V15" s="2"/>
      <c r="W15" s="5"/>
      <c r="X15" s="5"/>
    </row>
    <row r="16" spans="1:24" ht="130.5" x14ac:dyDescent="0.55000000000000004">
      <c r="A16" s="2">
        <v>11</v>
      </c>
      <c r="B16" s="3" t="s">
        <v>217</v>
      </c>
      <c r="C16" s="2" t="s">
        <v>145</v>
      </c>
      <c r="D16" s="2">
        <v>6</v>
      </c>
      <c r="E16" s="2">
        <v>1</v>
      </c>
      <c r="F16" s="3" t="s">
        <v>36</v>
      </c>
      <c r="G16" s="2" t="s">
        <v>35</v>
      </c>
      <c r="H16" s="2" t="s">
        <v>146</v>
      </c>
      <c r="I16" s="36">
        <v>2990000</v>
      </c>
      <c r="J16" s="31">
        <f t="shared" si="14"/>
        <v>448500</v>
      </c>
      <c r="K16" s="31">
        <f t="shared" si="15"/>
        <v>149500</v>
      </c>
      <c r="L16" s="31">
        <f t="shared" si="16"/>
        <v>149500</v>
      </c>
      <c r="M16" s="31">
        <f t="shared" si="17"/>
        <v>149500</v>
      </c>
      <c r="N16" s="3" t="s">
        <v>76</v>
      </c>
      <c r="O16" s="2" t="s">
        <v>35</v>
      </c>
      <c r="P16" s="2" t="s">
        <v>35</v>
      </c>
      <c r="Q16" s="2" t="s">
        <v>35</v>
      </c>
      <c r="R16" s="6">
        <v>25166</v>
      </c>
      <c r="S16" s="6">
        <v>25485</v>
      </c>
      <c r="T16" s="6">
        <v>25112</v>
      </c>
      <c r="U16" s="38">
        <v>25568</v>
      </c>
      <c r="V16" s="5"/>
      <c r="W16" s="39"/>
      <c r="X16" s="5"/>
    </row>
    <row r="17" spans="1:24" s="7" customFormat="1" ht="87" x14ac:dyDescent="0.2">
      <c r="A17" s="2">
        <v>12</v>
      </c>
      <c r="B17" s="3" t="s">
        <v>218</v>
      </c>
      <c r="C17" s="2" t="s">
        <v>145</v>
      </c>
      <c r="D17" s="2">
        <v>5</v>
      </c>
      <c r="E17" s="2" t="s">
        <v>35</v>
      </c>
      <c r="F17" s="3" t="s">
        <v>36</v>
      </c>
      <c r="G17" s="3" t="s">
        <v>35</v>
      </c>
      <c r="H17" s="3" t="s">
        <v>219</v>
      </c>
      <c r="I17" s="4">
        <v>1360000</v>
      </c>
      <c r="J17" s="40">
        <f t="shared" si="14"/>
        <v>204000</v>
      </c>
      <c r="K17" s="40">
        <f t="shared" si="15"/>
        <v>68000</v>
      </c>
      <c r="L17" s="40">
        <f t="shared" si="16"/>
        <v>68000</v>
      </c>
      <c r="M17" s="40">
        <f t="shared" si="17"/>
        <v>68000</v>
      </c>
      <c r="N17" s="3" t="s">
        <v>35</v>
      </c>
      <c r="O17" s="2" t="s">
        <v>35</v>
      </c>
      <c r="P17" s="2" t="s">
        <v>35</v>
      </c>
      <c r="Q17" s="2" t="s">
        <v>35</v>
      </c>
      <c r="R17" s="6">
        <v>25121</v>
      </c>
      <c r="S17" s="6">
        <v>25507</v>
      </c>
      <c r="T17" s="6" t="s">
        <v>35</v>
      </c>
      <c r="U17" s="6" t="s">
        <v>35</v>
      </c>
      <c r="V17" s="5"/>
      <c r="W17" s="5"/>
      <c r="X17" s="5"/>
    </row>
    <row r="18" spans="1:24" s="7" customFormat="1" ht="65.25" x14ac:dyDescent="0.2">
      <c r="A18" s="2">
        <v>13</v>
      </c>
      <c r="B18" s="3" t="s">
        <v>172</v>
      </c>
      <c r="C18" s="2" t="s">
        <v>145</v>
      </c>
      <c r="D18" s="2">
        <v>7</v>
      </c>
      <c r="E18" s="2" t="s">
        <v>35</v>
      </c>
      <c r="F18" s="3" t="s">
        <v>36</v>
      </c>
      <c r="G18" s="2" t="s">
        <v>35</v>
      </c>
      <c r="H18" s="3" t="s">
        <v>64</v>
      </c>
      <c r="I18" s="4">
        <v>2500000</v>
      </c>
      <c r="J18" s="40">
        <f t="shared" si="14"/>
        <v>375000</v>
      </c>
      <c r="K18" s="40">
        <f t="shared" si="15"/>
        <v>125000</v>
      </c>
      <c r="L18" s="40">
        <f t="shared" si="16"/>
        <v>125000</v>
      </c>
      <c r="M18" s="40">
        <f t="shared" si="17"/>
        <v>125000</v>
      </c>
      <c r="N18" s="3" t="s">
        <v>174</v>
      </c>
      <c r="O18" s="2" t="s">
        <v>35</v>
      </c>
      <c r="P18" s="2" t="s">
        <v>35</v>
      </c>
      <c r="Q18" s="2" t="s">
        <v>35</v>
      </c>
      <c r="R18" s="6">
        <v>25112</v>
      </c>
      <c r="S18" s="6">
        <v>25476</v>
      </c>
      <c r="T18" s="6">
        <v>25112</v>
      </c>
      <c r="U18" s="38">
        <v>25303</v>
      </c>
      <c r="V18" s="5"/>
      <c r="W18" s="5"/>
      <c r="X18" s="5"/>
    </row>
    <row r="19" spans="1:24" s="7" customFormat="1" ht="108.75" x14ac:dyDescent="0.2">
      <c r="A19" s="2">
        <v>14</v>
      </c>
      <c r="B19" s="3" t="s">
        <v>169</v>
      </c>
      <c r="C19" s="2" t="s">
        <v>145</v>
      </c>
      <c r="D19" s="2"/>
      <c r="E19" s="2"/>
      <c r="F19" s="3" t="s">
        <v>36</v>
      </c>
      <c r="G19" s="3" t="s">
        <v>220</v>
      </c>
      <c r="H19" s="3" t="s">
        <v>35</v>
      </c>
      <c r="I19" s="4">
        <v>8000000</v>
      </c>
      <c r="J19" s="37">
        <f t="shared" si="14"/>
        <v>1200000</v>
      </c>
      <c r="K19" s="37">
        <f t="shared" si="15"/>
        <v>400000</v>
      </c>
      <c r="L19" s="37">
        <f t="shared" si="16"/>
        <v>400000</v>
      </c>
      <c r="M19" s="37">
        <f t="shared" si="17"/>
        <v>400000</v>
      </c>
      <c r="N19" s="3" t="s">
        <v>171</v>
      </c>
      <c r="O19" s="2" t="s">
        <v>35</v>
      </c>
      <c r="P19" s="2" t="s">
        <v>35</v>
      </c>
      <c r="Q19" s="2" t="s">
        <v>35</v>
      </c>
      <c r="R19" s="6">
        <v>25105</v>
      </c>
      <c r="S19" s="6">
        <v>25568</v>
      </c>
      <c r="T19" s="6">
        <v>25106</v>
      </c>
      <c r="U19" s="6">
        <v>25352</v>
      </c>
      <c r="V19" s="2"/>
      <c r="W19" s="5"/>
      <c r="X19" s="5"/>
    </row>
    <row r="20" spans="1:24" x14ac:dyDescent="0.55000000000000004">
      <c r="D20" s="10"/>
    </row>
  </sheetData>
  <mergeCells count="29">
    <mergeCell ref="K4:K5"/>
    <mergeCell ref="L4:L5"/>
    <mergeCell ref="T3:U4"/>
    <mergeCell ref="V3:V5"/>
    <mergeCell ref="W3:W5"/>
    <mergeCell ref="M4:M5"/>
    <mergeCell ref="N4:N5"/>
    <mergeCell ref="N3:O3"/>
    <mergeCell ref="P3:Q3"/>
    <mergeCell ref="R3:S4"/>
    <mergeCell ref="O4:O5"/>
    <mergeCell ref="P4:P5"/>
    <mergeCell ref="Q4:Q5"/>
    <mergeCell ref="A1:X1"/>
    <mergeCell ref="A2:X2"/>
    <mergeCell ref="A3:A5"/>
    <mergeCell ref="B3:B5"/>
    <mergeCell ref="C3:C5"/>
    <mergeCell ref="D3:E3"/>
    <mergeCell ref="F3:F5"/>
    <mergeCell ref="G3:H3"/>
    <mergeCell ref="I3:I5"/>
    <mergeCell ref="J3:M3"/>
    <mergeCell ref="X3:X5"/>
    <mergeCell ref="D4:D5"/>
    <mergeCell ref="E4:E5"/>
    <mergeCell ref="G4:G5"/>
    <mergeCell ref="H4:H5"/>
    <mergeCell ref="J4:J5"/>
  </mergeCells>
  <pageMargins left="0.23622047244094491" right="0" top="0.19685039370078741" bottom="0" header="0.19685039370078741" footer="0"/>
  <pageSetup paperSize="9" scale="58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11</vt:i4>
      </vt:variant>
      <vt:variant>
        <vt:lpstr>ช่วงที่มีชื่อ</vt:lpstr>
      </vt:variant>
      <vt:variant>
        <vt:i4>1</vt:i4>
      </vt:variant>
    </vt:vector>
  </HeadingPairs>
  <TitlesOfParts>
    <vt:vector size="12" baseType="lpstr">
      <vt:lpstr>ม.ค.68</vt:lpstr>
      <vt:lpstr>ก.พ.68</vt:lpstr>
      <vt:lpstr>มี.ค.68 </vt:lpstr>
      <vt:lpstr>เม.ย.68</vt:lpstr>
      <vt:lpstr>พ.ค.68 </vt:lpstr>
      <vt:lpstr>มิ.ย.68</vt:lpstr>
      <vt:lpstr>ก.ค.68</vt:lpstr>
      <vt:lpstr>ส.ค.68</vt:lpstr>
      <vt:lpstr>ก.ย.68</vt:lpstr>
      <vt:lpstr>ต.ค.68</vt:lpstr>
      <vt:lpstr>พ.ย.68 </vt:lpstr>
      <vt:lpstr>ต.ค.68!Print_Titles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nook-pc</dc:creator>
  <cp:lastModifiedBy>ทศพร เอี่ยมสะอาด</cp:lastModifiedBy>
  <cp:lastPrinted>2025-12-19T02:47:59Z</cp:lastPrinted>
  <dcterms:created xsi:type="dcterms:W3CDTF">2015-01-19T02:59:50Z</dcterms:created>
  <dcterms:modified xsi:type="dcterms:W3CDTF">2026-03-13T06:30:13Z</dcterms:modified>
</cp:coreProperties>
</file>
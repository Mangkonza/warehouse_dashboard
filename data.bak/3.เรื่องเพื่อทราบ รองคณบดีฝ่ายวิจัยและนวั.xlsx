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ประชุมคณะ\"/>
    </mc:Choice>
  </mc:AlternateContent>
  <xr:revisionPtr revIDLastSave="0" documentId="13_ncr:1_{5F2D756B-7ECA-4344-A038-72F0FBF6D544}" xr6:coauthVersionLast="47" xr6:coauthVersionMax="47" xr10:uidLastSave="{00000000-0000-0000-0000-000000000000}"/>
  <bookViews>
    <workbookView xWindow="2610" yWindow="0" windowWidth="17100" windowHeight="15480" firstSheet="2" activeTab="3" xr2:uid="{73715EE6-7643-4B9C-8B94-4E38D8F42743}"/>
  </bookViews>
  <sheets>
    <sheet name="1-โครงการวิจัย" sheetId="2" r:id="rId1"/>
    <sheet name="2-โครงการพัฒนาวิชาการ" sheetId="3" r:id="rId2"/>
    <sheet name="3-งานบริการวิชาการ" sheetId="4" r:id="rId3"/>
    <sheet name="4-ผลงานทางวิชาการ" sheetId="5" r:id="rId4"/>
    <sheet name="5-งานทรัพย์สินทางปัญญา" sheetId="6" r:id="rId5"/>
  </sheets>
  <definedNames>
    <definedName name="_xlnm.Print_Titles" localSheetId="1">'2-โครงการพัฒนาวิชาการ'!$1:$5</definedName>
    <definedName name="_xlnm.Print_Titles" localSheetId="2">'3-งานบริการวิชาการ'!$1:$4</definedName>
    <definedName name="_xlnm.Print_Titles" localSheetId="3">'4-ผลงานทางวิชาการ'!$1:$4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2" i="4" l="1"/>
  <c r="J13" i="3"/>
  <c r="M13" i="3" s="1"/>
  <c r="J12" i="3"/>
  <c r="K12" i="3" s="1"/>
  <c r="J11" i="3"/>
  <c r="M11" i="3" s="1"/>
  <c r="J10" i="3"/>
  <c r="M10" i="3" s="1"/>
  <c r="J9" i="3"/>
  <c r="M9" i="3" s="1"/>
  <c r="J8" i="3"/>
  <c r="M8" i="3" s="1"/>
  <c r="J7" i="3"/>
  <c r="M7" i="3" s="1"/>
  <c r="J6" i="3"/>
  <c r="K6" i="3" s="1"/>
  <c r="K11" i="3" l="1"/>
  <c r="L11" i="3"/>
  <c r="K9" i="3"/>
  <c r="L6" i="3"/>
  <c r="L12" i="3"/>
  <c r="M6" i="3"/>
  <c r="M12" i="3"/>
  <c r="K7" i="3"/>
  <c r="K13" i="3"/>
  <c r="L7" i="3"/>
  <c r="L10" i="3"/>
  <c r="L13" i="3"/>
  <c r="K8" i="3"/>
  <c r="L8" i="3"/>
  <c r="L9" i="3"/>
  <c r="K10" i="3"/>
</calcChain>
</file>

<file path=xl/sharedStrings.xml><?xml version="1.0" encoding="utf-8"?>
<sst xmlns="http://schemas.openxmlformats.org/spreadsheetml/2006/main" count="501" uniqueCount="267">
  <si>
    <t>สรุปโครงการวิจัยคณะวิศวกรรมศาสตร์ กำแพงแสน</t>
  </si>
  <si>
    <t>เดือนมีนาคม 2569</t>
  </si>
  <si>
    <t>ลำดับ
ที่</t>
  </si>
  <si>
    <t>รหัส
โครงการ</t>
  </si>
  <si>
    <t>ชื่อโครงการ</t>
  </si>
  <si>
    <t>หัวหน้าโครงการ</t>
  </si>
  <si>
    <t>ผู้ร่วมวิจัย</t>
  </si>
  <si>
    <t>หน่วยงาน
รับผิดชอบ</t>
  </si>
  <si>
    <t>ความร่วมมือ</t>
  </si>
  <si>
    <t>ลักษณะโครงการ</t>
  </si>
  <si>
    <t>งบประมาณ</t>
  </si>
  <si>
    <t>แหล่งทุนวิจัย</t>
  </si>
  <si>
    <t>ระยะเวลาเริ่มดำเนินการ</t>
  </si>
  <si>
    <t>ระยะเวลาสิ้นสุดการดำเนินการ</t>
  </si>
  <si>
    <t>การบูรณาการ</t>
  </si>
  <si>
    <t>ระดับ
TRL</t>
  </si>
  <si>
    <t>หมายเหตุ</t>
  </si>
  <si>
    <t>ใน
ประเทศ</t>
  </si>
  <si>
    <t>ต่าง
ประเทศ</t>
  </si>
  <si>
    <t>สร้างความเข้มแข็ง</t>
  </si>
  <si>
    <t>สอดคล้องกับนโยบาย</t>
  </si>
  <si>
    <t>ภายใน</t>
  </si>
  <si>
    <t>ภายนอก</t>
  </si>
  <si>
    <t>การนำความรู้จากการสอนรายวิชา</t>
  </si>
  <si>
    <t>นำวิจัยมาใช้การเรียนการสอน</t>
  </si>
  <si>
    <t>การบริการวิชาการ/      ชื่อโครงการ</t>
  </si>
  <si>
    <t>ศึกษาวิจัยและสาธิตริเริ่มระบบช่วยติดสินใจเพื่อการพยากรณ์น้ำและควบคุมเครื่องสูบน้ำแบบอัตโนมัติเพื่อป้องกันน้ำท่วมเมืองเชียงใหม่</t>
  </si>
  <si>
    <t>รศ.ดร.วิษุวัฒก์ แต้สมบัติ</t>
  </si>
  <si>
    <t>คณะวิศวกรรมศาสตร์ 
กำแพงแสน</t>
  </si>
  <si>
    <t>ภาควิชา
วิศวกรรมชลประทาน</t>
  </si>
  <si>
    <t>-</t>
  </si>
  <si>
    <t xml:space="preserve">สำนักงานเร่งรัดการวิจัยและนวัตกรรมเพื่อเพิ่มความสามารถการแข่งขันและการพัฒนาพื้นที่ (องค์การมหาชน) 
กับ
บริษัทโอทีเอส เซอร์วิสแอนด์ ซัพพลาย จำกัด
 </t>
  </si>
  <si>
    <t>1 ปี</t>
  </si>
  <si>
    <t>ระบบสนับสนุนการตัดสินใจสำหรับการออกแบบและการเพิ่มประสิทธิภาพอย่างยั่งยืนของเครือข่ายโซ่อุปทานหลังการเก็บเกี่ยวมะพร้าว</t>
  </si>
  <si>
    <t>ผศ.ดร.ชัยมงคล ลิ้มเพียรชอบ</t>
  </si>
  <si>
    <t>ภาควิชา
วิศวกรรมอุตสาหการ</t>
  </si>
  <si>
    <t>ทุนอุดหนุนการวิจัย คณะวิศวกรรมศาสตร์ กำแพงแสน ประจำปีงบประมาณ 2569</t>
  </si>
  <si>
    <t>การพัฒนาและถ่ายทอดเทคโนโลยีนวัตกรรมระบบควบคุมความปลอดภัยสำหรับปั้นจั่น(เครน)เหนือศีรษะด้วยเทคโนโลยี LiDAR เพื่อยกระดับความปลอดภัยของผู้ปฏิบัติงานและลดความเสี่ยงต่อสาธารณชน</t>
  </si>
  <si>
    <t>อ.ดร.ณัฐพงษ์ สุขสบาย</t>
  </si>
  <si>
    <t>ผศ.ดร.ธนา ชีพสมทรง
นายสัญญา ผาสุก</t>
  </si>
  <si>
    <t>ภาควิชา
วิศวกรรมเครื่องกล</t>
  </si>
  <si>
    <t>สำนักงานการวิจัย
แห่งชาติ (วช)</t>
  </si>
  <si>
    <t>สรุปโครงการพัฒนาวิชาการ</t>
  </si>
  <si>
    <t>ผู้ร่วมโครงการ</t>
  </si>
  <si>
    <t>หน่วยงาน
ดำเนินการ</t>
  </si>
  <si>
    <t>ผู้ขอรับบริการ</t>
  </si>
  <si>
    <t>การจัดสรร</t>
  </si>
  <si>
    <t>บรูณาการการใช้ประโยชน์</t>
  </si>
  <si>
    <t>ระยะเวลาดำเนินการ</t>
  </si>
  <si>
    <t>วันที่นำไปบูรณาการ</t>
  </si>
  <si>
    <t>ระเบียนโครงการ</t>
  </si>
  <si>
    <t>สถานะโครงการ</t>
  </si>
  <si>
    <t>ครั้งแรก</t>
  </si>
  <si>
    <t>มากกว่า 1 ครั้ง</t>
  </si>
  <si>
    <t>ค่า
อำนวย
การ
15 %</t>
  </si>
  <si>
    <t>คณะ
5%</t>
  </si>
  <si>
    <t xml:space="preserve">ภาค
วิชา
5% </t>
  </si>
  <si>
    <t>มก.
5%</t>
  </si>
  <si>
    <t>โครงการ
วิจัย</t>
  </si>
  <si>
    <t>สิทธิบัตร/
อนุสิทธิบัตร</t>
  </si>
  <si>
    <t>สอดคล้องกับนโยบายชาติ</t>
  </si>
  <si>
    <t>เพิ่มมูลค่า</t>
  </si>
  <si>
    <t>เริ่มต้น</t>
  </si>
  <si>
    <t>สิ้นสุด</t>
  </si>
  <si>
    <t>โครงการประเมินปริมาณน้ำเสียชุมชนเพื่อการวางแผนระบบบำบัดน้ำเสียอย่างยั่งยืน</t>
  </si>
  <si>
    <t>ผศ.ดร.นิธิรัชต์ สงวนเดือน</t>
  </si>
  <si>
    <t>องค์การจัดการน้ำเสีย</t>
  </si>
  <si>
    <t>02207424
วิศวกรรมการประปา</t>
  </si>
  <si>
    <t>00520/69</t>
  </si>
  <si>
    <t>โครงการศึกษาความเหมาะสมและผลกระทบสิ่งแวดล้อม จัดหาแหล่งกักเก็บน้ำ อาคารประกอบ และโครงข่ายน้ำสำหรับใช้ในโครงการศูนย์ธุรกิจ EEC และเมืองใหม่น่าอยู่อัจฉริยะ จังหวัดชลบุรี</t>
  </si>
  <si>
    <t>ผศ.ดร.ไชยาพงษ์ เทพประสิทธิ์</t>
  </si>
  <si>
    <t>กรมชลประทาน</t>
  </si>
  <si>
    <t>02207431
Feasibility and EIA</t>
  </si>
  <si>
    <t>00515/69</t>
  </si>
  <si>
    <t>จ้างจัดหาระบบควบคุมระยะไกลของประตูระบายน้ำพระเอกาทศรถ สำนักงานก่อสร้างชลประทานขนาดใหญ่ที่ 11 สำนักพัฒนาแหล่งน้ำขนาดใหญ่ กรมชลประทาน</t>
  </si>
  <si>
    <t>สำนักงานก่อสร้างชลประทานขนาดใหญ่ที่ 11 สำนักพัฒนาแหล่งน้ำขนาดใหญ่ กรมชลประทาน</t>
  </si>
  <si>
    <t>02207545
Flood Forecasting and Warning System</t>
  </si>
  <si>
    <t>00565/69</t>
  </si>
  <si>
    <t>ค่าครุภัณฑ์</t>
  </si>
  <si>
    <t>โครงการที่ปรึกษาในการศึกษาความเหมาะสม การออกแบบ และจัดทำเอกสารข้อเสนอประกวดราคา (บริษัท วัสดุภัณฑ์ธุรกิจ จำกัด)</t>
  </si>
  <si>
    <t>ผศ.นงลักษณ์ เล็กรุ่งเรืองกิจ</t>
  </si>
  <si>
    <t>ศูนย์ปฏิบัติการวิศวกรรมพลังงานและสิ่งแวดล้อม</t>
  </si>
  <si>
    <t>บริษัท วัสดุภัณฑ์ธุรกิจ จำกัด</t>
  </si>
  <si>
    <t>ไม่มี</t>
  </si>
  <si>
    <t>00582/69</t>
  </si>
  <si>
    <t>โครงการที่ปรึกษาในการศึกษาความเหมาะสม การออกแบบ และจัดทำเอกสารข้อเสนอประกวดราคา (บริษัท กลุ่ม 79 จำกัด)</t>
  </si>
  <si>
    <t>บริษัท กลุ่ม 79 จำกัด</t>
  </si>
  <si>
    <t>00583/69</t>
  </si>
  <si>
    <t>โครงการวิจัยและพัฒนาท่อโค้งและท่อสามทางซีเมนต์ใยหินไฮบริดชนิดทนความดันพลัส  (HAC Plus)</t>
  </si>
  <si>
    <t>ผศ.ดร.ทรงศักดิ์ ภัทราวุฒิชัย</t>
  </si>
  <si>
    <t>บริษัท ท่อน้ำสากล
 จำกัด</t>
  </si>
  <si>
    <t>02207423
การออกอบบระบบท่อและระบบชลประทานภายใต้แรงดัน
02207423
การออกแบบระบบท่อและระบบชลประทานภายใต้แรงดัน</t>
  </si>
  <si>
    <t>00586/69</t>
  </si>
  <si>
    <t>งานจ้างศึกษาเบื้องต้นการตรวจสอบสภาพโครงสร้างคอนกรีตของเขื่อนเจ้าพระยาและการประเมินสภาพความเสียหายที่จะก่อให้เกิดการพังทลายในรูปแบบต่างๆ</t>
  </si>
  <si>
    <t>ศูนย์เทคโนโลยีโลหะและวัสดุ สำนักงานพัฒนาวิทยาศาสตร์และเทคโนโลยีแห่งชาติ (สวทช.)</t>
  </si>
  <si>
    <t>02207423
การออกแบบระบบท่อและระบบชลประทานภายใต้แรงดัน</t>
  </si>
  <si>
    <t>00626/69</t>
  </si>
  <si>
    <t>โครงการสำรวจและออกแบบรายละเอียดสถานีสูบน้ำหนองปลาไหล แห่งที่ 4 เพื่อทดแทนสถานีสูบน้ำหนองปลาไหล 2 สถานีสูบน้ำหนองปลาไหล 3</t>
  </si>
  <si>
    <t>บริษัท จัดการและพัฒนาทรัพยากรน้ำภาคตะวันออก จำกัด (มหาชน)</t>
  </si>
  <si>
    <t>02207542
Project Planning and Assessment</t>
  </si>
  <si>
    <t>00630/69</t>
  </si>
  <si>
    <t>สรุปข้อมูลผลงานบริการวิชาการคณะวิศวกรรมศาสตร์ กำแพงแสน</t>
  </si>
  <si>
    <t>ประจำเดือนมีนาคม 2569</t>
  </si>
  <si>
    <t>เรื่อง</t>
  </si>
  <si>
    <t>กลุ่มเป้าหมาย</t>
  </si>
  <si>
    <t>ประเภท</t>
  </si>
  <si>
    <t>ชื่อ - นามสกุล</t>
  </si>
  <si>
    <t>ภาควิชา/ศูนย์ฯ</t>
  </si>
  <si>
    <t>วัน/เดือน/ปี</t>
  </si>
  <si>
    <t>จำนวนชั่วโมง</t>
  </si>
  <si>
    <t>จำนวนคน</t>
  </si>
  <si>
    <t>วิทยากร/อาจารย์พิเศษ</t>
  </si>
  <si>
    <t>วิชาการ</t>
  </si>
  <si>
    <t>วิชาชีพ</t>
  </si>
  <si>
    <t>ผู้ทรงคุณวุฒิ</t>
  </si>
  <si>
    <t>วิทยานิพนธ์ภายนอก</t>
  </si>
  <si>
    <t>ศึกษาดูงาน วศ.กพส.</t>
  </si>
  <si>
    <t>เป็นผู้ทรงคุณวุฒิ
ประเมินบทความนานาชาติ</t>
  </si>
  <si>
    <t>การประชุมวิชาการวิศวรรมและการก่อสร้างระดับชาติ ครั้งที่ 6 (The Sixth National Engineering and Construction Conference (The 6 NECC)) ออนไลน์</t>
  </si>
  <si>
    <t>ü</t>
  </si>
  <si>
    <t>ผศ.ดร.เพ็ญพิชชา สนิทอินทร์</t>
  </si>
  <si>
    <t>ภาควิชา
วิศวกรรมโยธา</t>
  </si>
  <si>
    <t>การประชุมวิชาการวิศวรรมและการก่อสร้างระดับชาติ ครั้งที่ 6 (The Sixth National Engineering and Construction Conference
 (The 6 NECC)) ออนไลน์</t>
  </si>
  <si>
    <t>ประชุมคณะทำงานพัฒนาหลักเกณฑ์ มาตรฐานการบริหารจัดการทรัพยากรน้ำ ครั้งที่ 1/2569</t>
  </si>
  <si>
    <t>สำนักงานทรัพยากรน้ำแห่งชาติ</t>
  </si>
  <si>
    <t>เป็นผู้ให้การอบรมเกษตรกรสาธิตระบบให้น้ำและปุ๋ยอย่างแม่นยำ</t>
  </si>
  <si>
    <t>กลุ่มวิสาหกิจชุมชนมะม่วงบ้านแฮดเพื่อการส่งออก 
จ.ขอนแก่น และกลุ่มสตรีสหกรณ์การเกษตรไม้ผลบ้านโหล่น จ.ชัยภูมิ</t>
  </si>
  <si>
    <t>รศ.ดร.รณฤทธิ์ ฤทธิรณ</t>
  </si>
  <si>
    <t>ภาควิชา
วิศวกรรมอาหาร</t>
  </si>
  <si>
    <t>ประชุมคณะอนุกรรมการวิชาการและบริหารจัดการน้ำเจ้าพระยา ครั้งที่ 1/2569</t>
  </si>
  <si>
    <t>คณะกรรมการลุ่มน้ำเจ้าพระยา สำนักงานทรัพยากรน้ำแห่งชาติ
ภาค 2 จ.นนทบุรี</t>
  </si>
  <si>
    <t>รศ.ดร.บัญชา ขวัญยืน</t>
  </si>
  <si>
    <t>ประชุมคณะอนุกรรมการบริหารจัดการสถานการณ์น้ำลุ่มน้ำเจ้าพระยา 
ครั้งที่ 2/2569</t>
  </si>
  <si>
    <t>คณะกรรมการลุ่มน้ำเจ้าพระยา สำนักงานทรัพยากรน้ำแห่งชาติภาค 2</t>
  </si>
  <si>
    <t>วิทยากรบรรยาย "ประเด็นการมีส่วนร่วมในการบริหารจัดการพื้นที่รับน้ำเพื่อการพัฒนาอย่างยั่งยืน"</t>
  </si>
  <si>
    <t>การประชุมแลกเปลี่ยนสถานการณ์การบริหารจัดการน้ำของประเทศไทย เพื่อการพัฒนาและขับเคลื่อนนโยบายสาธารณะแบบมีส่วนร่วมของจังหวัดพระนครศรีอยุธยา ณ อาคารสุขภาพแห่งชาติ กระทรวงสาธารณสุข จ.นนทบุรี</t>
  </si>
  <si>
    <t>ประชุมคณะกรรมการลุ่มน้ำเจ้าพระยา ครั้งที่ 2/2569</t>
  </si>
  <si>
    <t>คณะกรรมการลุ่มน้ำเจ้าพระยา จ.นครสวรรค์</t>
  </si>
  <si>
    <t>ประชุมสัมมนาระดมความคิดเห็นกรรมการลุ่มน้ำ
ผู้ทรงคุณวุฒิ 22 ลุ่มน้ำ เพื่อขับเคลื่อนการพัฒนาลุ่มน้ำอย่างยั่งยืน</t>
  </si>
  <si>
    <t>คณะกรรมการลุ่มน้ำฯ สำนักงานทรัพยากรน้ำแห่งชาติภาค 2 จ.นนทบุรี</t>
  </si>
  <si>
    <t>รศ.ดร.ชัยศรี สุขสาโรจน์</t>
  </si>
  <si>
    <t>ผศ.ดร.ชูพันธุ์ ชมภูจันทร์</t>
  </si>
  <si>
    <t>วิทยากรให้ความรู้หัวข้อ "โครงการเพิ่มประสิทธิภาพระบบการบริหารจัดการน้ำและควบคุมอาคารชลประทานจากระยะไกลในแม่น้ำปิงสายหลัก"</t>
  </si>
  <si>
    <t>โครงการฝึกอบรม การจัดการความรู้ นวัตกรรม และเสริมสร้างธรรมาภิบาลขององค์กรเพื่อการบริหารจัดการน้ำอย่างยั่งยืน สำนักงานชลประทานที่ 1</t>
  </si>
  <si>
    <t>วิทยากรบรรยายการประชุมเสวนาวิชาการ เรื่อง รู้ทัน การ
เปลี่ยนแปลงพร้อมรับมือแล้งนี้</t>
  </si>
  <si>
    <t>สำนักงานทรัพยากรน้ำแห่งชาติ จ.นนทบุรี</t>
  </si>
  <si>
    <t>รศ.ดร.วราวุฒิ วุฒิวณิชย์</t>
  </si>
  <si>
    <t>วารสาร Water Supply</t>
  </si>
  <si>
    <t>ประชุมเสวนาวิชาการ 
เรื่อง รู้ทัน การเปลี่ยนแปลง 
พร้อมรับมือแล้งนี้</t>
  </si>
  <si>
    <t>อาจารย์พิเศษ บรรยายวิชา EGEW564 Hydroinformatics
 in Advanced Water Resources Engineering หัวข้อ Vector and Raster Data Analysis &amp; Terrain Analysis and Hydrological Modeling ภาควิชาวิศวกรรมโยธาและสิ่งแวดล้อม 
ม.มหิดล วิทยาเขตศาลายา</t>
  </si>
  <si>
    <t>นักศึกษาปริญญาโท ภาควิชาวิศวกรรมโยธาและสิ่งแวดล้อม
 ม.มหิดล วิทยาเขตศาลายา</t>
  </si>
  <si>
    <t>อาจารย์พิเศษ บรรยายวิชา EGEW564 Hydroinformatics in Advanced Water Resources Engineering หัวข้อ Geospatial Modelling for Water Resources Management ภาควิชาวิศวกรรมโยธาและสิ่งแวดล้อม ม.มหิดล วิทยาเขตศาลายา</t>
  </si>
  <si>
    <t>อาจารย์พิเศษ บรรยายวิชา EGEW564 Hydroinformatics in Advanced Water Resources Engineering หัวข้อ Remote Sensing in Hydrology ภาควิชาวิศวกรรมโยธาและสิ่งแวดล้อม ม.มหิดล วิทยาเขตศาลายา</t>
  </si>
  <si>
    <t>กรรมการสอบเค้าโครงวิทยานิพนธ์ คณะวิศวกรรมศาสตร์ มหาวิทยาลัยขอนแก่น</t>
  </si>
  <si>
    <t>นักศึกษาปริญญาโท คณะวิศวกรรมศาสตร์ มหาวิทยาลัยขอนแก่น</t>
  </si>
  <si>
    <t>ผศ.ดร.เกศวรา สิทธิโชค</t>
  </si>
  <si>
    <t>เป็นประธานกรรมการสอบป้องกันวิทยานิพนธ์</t>
  </si>
  <si>
    <t>สาขาวิชาวิทยาศาสตร์และเทคโนโลยีอาหาร 
คณะอุตสาหกรรมเกษตร มหาวิทยาลัยสงขลานครินทร์</t>
  </si>
  <si>
    <t>ศ.ดร.รังสินี โสธรวิทย์</t>
  </si>
  <si>
    <t>ภาควิชา
วิศวกรรมการอาหาร</t>
  </si>
  <si>
    <t>ส่งเสริมและสนับสนุนการวิจัยและนวัตกรรมภายใต้แผนงานน้ำมั่นคง ไม่ท่วม ไม่แล้ง ใน 10 จังหวัดด้านการเกษตร</t>
  </si>
  <si>
    <t>เป็นผู้ทรงคุณวุฒิในการประชุมระดมสมองเพื่อจัดทำกรอบการวิจัยและนวัตกรรม ประจำปีงบประมาณ 2570 
ด้านเศรษฐกิจและการเกษตร</t>
  </si>
  <si>
    <t>สำนักงานการวิจัยแห่งชาติ (วช.)</t>
  </si>
  <si>
    <t xml:space="preserve">การประชุมวิชาการระดับชาติ IE Network 2026 </t>
  </si>
  <si>
    <t xml:space="preserve">ผศ.ปริญญา  พัฒนวสันต์พร </t>
  </si>
  <si>
    <t>7th Asia Pacific International Conference on Industrial Engineering and Operations Management
Bangkok, Thailand, 
March 25-27, 2026</t>
  </si>
  <si>
    <t xml:space="preserve">อ.ดร.ปริญญา กวีกิจบัณฑิต </t>
  </si>
  <si>
    <t>25-27
 มี.ค.69</t>
  </si>
  <si>
    <t>7th Asia Pacific International Conference on Industrial Engineering and Operations Management
Bangkok, Thailand, March 25-27, 2026</t>
  </si>
  <si>
    <t>เกษตรกรใน อ.นครชัยศรี 
จ.นครปฐม</t>
  </si>
  <si>
    <t>นางสาวธันยพร โส๊ะอ้น
นายรัตนศักดิ์ ทรัพย์เย็น
นายเจษฎาพร ด้วงแก้ว</t>
  </si>
  <si>
    <t>ศูนย์ปฏิบัติการวิศวกรรม
พลังงานและสิ่งแวดล้อม</t>
  </si>
  <si>
    <t>วิทยากรการอบรมเชิงปฏิบัติการสร้างมูลค่าเพิ่มเศษวัสดุเหลือใช้ทางการเกษตร โครงการส่งเสริมการเกษตรที่เป็นมิตรกับสิ่งแวดล้อม กิจกรรม จัดตั้ง "Green Gain Hub" ระดับจังหวัด ณ ต.บางไทรป่า อ.บางเลน จ.นครปฐม</t>
  </si>
  <si>
    <t>เกษตรกรใน อ.บางเลน 
จ.นครปฐม</t>
  </si>
  <si>
    <t>ผศ.นงลักษณ์ เล็กรุ่งเรือง
นายภัทรพล ชูราศรี
นายรัตนศักดิ์ ทรัพย์เย็น</t>
  </si>
  <si>
    <t>จัดนิทรรศการ ภายใต้โครงการวิจัยการส่งเสริมความสามารถการผลิตข้าวคุณภาพและการบริหารจัดการเชิงธุรกิจแบบมีส่วนร่วมของชาวนาภาคตะวันตก ณ ศูนย์ส่งเสริมและฝึกอบรมการเกษตรแห่งชาติ</t>
  </si>
  <si>
    <t>หน่วยงานภาครัฐและเอกชน
ผู้ประกอบการ
นักศึกษาและบุคลากรในมหาวิทยาลัย
ผู้ที่สนใจทั่วไป</t>
  </si>
  <si>
    <t>นายรัตนศักดิ์ ทรัพย์เย็น
นายเจษฎาพร ด้วงแก้ว</t>
  </si>
  <si>
    <t>เป็นวิทยากรบรรยายในงานสัมมนาความรู้ Design Precaign Strucyural Members with GFRP</t>
  </si>
  <si>
    <t>มหาวิทยาลัยเกษตรศาสตร์ วิทยาเขตกำแพงแสน</t>
  </si>
  <si>
    <t>เข้าร่วมดำเนินงานโครงการวิจัย การศึกษาความเป็นไปได้ในการปรับปรุงรายการตรวจสอบสภาพอาคารเขื่อนทดแทนน้ำเก่า เพื่อลดความเสี่ยงต่อความเสียหายต่อพื้นที่เกษตรกรรม</t>
  </si>
  <si>
    <t>ชป.สวทช.</t>
  </si>
  <si>
    <t>รศ.ดร.นันทวัฒน์ ขมหวาน</t>
  </si>
  <si>
    <t>ภาควิชา 
วิศวกรรมโยธา</t>
  </si>
  <si>
    <t>เป็นประธานกรรมการและผู้ทรงคุณวุฒิสอบหัวข้อและ
เค้าโครงวิทยานิพนธ์</t>
  </si>
  <si>
    <t>มหาวิทยาลัยเทคโนโลยีราชมงคลตะวันออก</t>
  </si>
  <si>
    <t>เป็นกรรมการสอบวิทยานิพนธ์ 
โครงการบัณฑิตศึกษา ในหัวข้อ การประยุกต์ใช้วิธีการตกตะกอนแคลเซียมคาร์บอเนต โดยเชื้อจุลินทรีย์ในมอตาร์ (ออนไลน์)</t>
  </si>
  <si>
    <t>โครงการบัณฑิตศึกษา 
สาขาวิศวรรมโยธา คณะวิศวกรรมศาสตร์ มหาวิทยาลัยธรรมศาสตร์ ศูนย์รังสิต ต.คลองหนึ่ง 
อ.คลองหลวง จ.ปทุมธานี</t>
  </si>
  <si>
    <t>กรรมการสอบ ป้องกันสารนิพนธ์ของนักศึกษา
ระดับปริญญาโท</t>
  </si>
  <si>
    <t>มหาวิทยาลัยเทคโนโลยีพระจอมเกล้าพระนครเหนือ</t>
  </si>
  <si>
    <t>Invited Speaker ในการประชุมวิชาการ Inaugural Meeting of the Tropical Crops Machinery Branch of the Chinese Society for Agricultural Machinery and the High-Quality Development Forum on Tropical Crop Machinery</t>
  </si>
  <si>
    <t>Chinese Society for Agricultural Machinery (CSAM)</t>
  </si>
  <si>
    <t>ผศ.ดร.วันรัฐ  อับดุลลากาซิม</t>
  </si>
  <si>
    <t>ภาควิชา 
วิศวกรรมเกษตร</t>
  </si>
  <si>
    <t>28 มี.ค.- 
2 เม.ย. 69</t>
  </si>
  <si>
    <t>สรุปข้อมูลสิ่งตีพิมพ์ผลงานทางวิชาการ ประจำปี 2569</t>
  </si>
  <si>
    <t>ชื่อผลงานทางวิชาการ</t>
  </si>
  <si>
    <t>ชนิดของผลงาน</t>
  </si>
  <si>
    <t>ระดับ</t>
  </si>
  <si>
    <t>จำนวนเงินสนับสนุน</t>
  </si>
  <si>
    <t>เจ้าของผลงาน</t>
  </si>
  <si>
    <t>ผู้ร่วม</t>
  </si>
  <si>
    <t>สังกัดภาควิชา/สาขาวิชา</t>
  </si>
  <si>
    <t>รายละเอียดวารสาร/การประชุม</t>
  </si>
  <si>
    <t>Volume</t>
  </si>
  <si>
    <t>Issue</t>
  </si>
  <si>
    <t>Page start</t>
  </si>
  <si>
    <t>Page end</t>
  </si>
  <si>
    <t>ต่างชาติ</t>
  </si>
  <si>
    <t>ภายในประเทศ</t>
  </si>
  <si>
    <t>Postharvest detection of anthracnose (Colletotrichum asianum) on mango fruit (Mangifera indica L.cv Namdokmai Sithong) using near-infrared response</t>
  </si>
  <si>
    <t>ตีพิมพ์</t>
  </si>
  <si>
    <t>นานาชาติ</t>
  </si>
  <si>
    <t>ศ.ดร.อนุพันธ์ เทอดวงศ์วรกุล</t>
  </si>
  <si>
    <t>Apiwat Junto, 
Thitima Phanomsophon, 
Sneha Sharma,
Kannapot Kaewsorn, 
Jiraporn Sripinyowanich Jongyingcharoen, 
Cheewanun Dachoupakan Sirisomboon, 
Panan Rerngsamran, 
Panmanas Sirisomboon, Pimpen Pornchaloempong, Norhashila Hashim, 
Prabhas Chongstitvatana</t>
  </si>
  <si>
    <t xml:space="preserve">ภาควิชา
วิศวกรรมเกษตร </t>
  </si>
  <si>
    <t xml:space="preserve">BMC Plant Biology </t>
  </si>
  <si>
    <t>Q1
ส่งเบิกส่วนของภาควิชาแล้ว</t>
  </si>
  <si>
    <t>Sustainable Packaging Film From Chitosan Reinforced     With Rice Husk Cellulose Nanocrystals</t>
  </si>
  <si>
    <t xml:space="preserve">นางสาวน้ำฝน สามสาลี,
นางสาวจิตรวดี มีราศรี 
</t>
  </si>
  <si>
    <t xml:space="preserve">ภาควิชา
วิศวกรรมอาหาร </t>
  </si>
  <si>
    <t xml:space="preserve">Packaging Technology and Science  </t>
  </si>
  <si>
    <t>Q2</t>
  </si>
  <si>
    <t>Shear Behavior of Ultra-High-Performance Concrete Shear Pockets with Large-sized Studs in Full-Depth Precast Concrete Bridge Deck under Push-off Tests</t>
  </si>
  <si>
    <t>Krissachai Sriboonma,
Kittipoom Rodsin</t>
  </si>
  <si>
    <t xml:space="preserve">ภาควิชา
วิศวกรรมโยธา </t>
  </si>
  <si>
    <t xml:space="preserve">Applied Science and Engineering Progress    </t>
  </si>
  <si>
    <t>Q1</t>
  </si>
  <si>
    <t>Maturity assessment-based dry matter content in Mon Thong durian pulp using machine learning and near-infrared hyperspectral image analysis</t>
  </si>
  <si>
    <t xml:space="preserve">นายอนุพันธ์ เทอดวงศ์วรกุล,
นายธนา ชีพสมทรง,
นายศุภชัย กุลมุติวัฒน์,
นายพีรพงษ์ แสงวนางศ์กูล
</t>
  </si>
  <si>
    <t>ภาควิชา
วิศวกรรมคอมพิวเตอร์</t>
  </si>
  <si>
    <t xml:space="preserve">IEEE Access </t>
  </si>
  <si>
    <t>Determining the Optimal Order Quantity for Perishable Products Affected by Stochastic Transportation Delays</t>
  </si>
  <si>
    <t>ผศ.ดร.จิรเกียรติ ทรายทอง</t>
  </si>
  <si>
    <t xml:space="preserve">นางสาวบัณฑิตา กาญจนสาธิต,
นางสาวอัจฉรา วังป่า,
นายอภิสิทธิ์ พิทักษ์ชื่น
</t>
  </si>
  <si>
    <t>Logistics</t>
  </si>
  <si>
    <t>Q2
ส่งเบิกส่วนของภาควิชาแล้ว</t>
  </si>
  <si>
    <t>Productivity Improvement of the Coconut Water Conveying System Using Simulation Modeling: A Case Study</t>
  </si>
  <si>
    <t>ชาติ</t>
  </si>
  <si>
    <t>นายภูเมศวร์ แสงระยับ,
นายจิรวัฒน์ จิระชาติวงษ์ชัย,
นางสาวภาสุรีย์ ล้ำสกุล</t>
  </si>
  <si>
    <t xml:space="preserve">Engineering and Technology Horizons (ETH)        </t>
  </si>
  <si>
    <t>TCI1
ส่งเบิกส่วนของภาควิชาแล้ว</t>
  </si>
  <si>
    <t>In vestor-Centric Policy Prioritization for Biomass Energy in Thailand: An Analytic Hierarchy Process Decision-Support Model</t>
  </si>
  <si>
    <t xml:space="preserve">ผศ.ดร.ศศิวิมล ขาวโกมล </t>
  </si>
  <si>
    <t>ผศ.ดร.จุติเทพ วงษ์เพ็ชร์</t>
  </si>
  <si>
    <t xml:space="preserve">ภาควิชา
วิศวกรรมชลประทาน           </t>
  </si>
  <si>
    <t>Sustainability</t>
  </si>
  <si>
    <t>Prototype Framework for Agricultural Drought Monitoring in Northern Thailand Using Satellite-Based Evaporative Stress index</t>
  </si>
  <si>
    <t>เตรียมความพร้อม</t>
  </si>
  <si>
    <t>ค่าธรรมเนียมตีพิมพ์</t>
  </si>
  <si>
    <t xml:space="preserve">สรุปผลงานทรัพย์สินทางปัญญาอนุสิทธิบัตร/สิทธิบัตร/รางวัล  </t>
  </si>
  <si>
    <t>ผู้ประดิษฐ์</t>
  </si>
  <si>
    <t>สังกัด</t>
  </si>
  <si>
    <t>ขั้นตอนดำเนินการ</t>
  </si>
  <si>
    <t>ได้รับความคุ้มครอง</t>
  </si>
  <si>
    <t>คณะฯ 
สนับสนุน</t>
  </si>
  <si>
    <t>อนุสิทธิบัตร</t>
  </si>
  <si>
    <t>สิทธิบัตร</t>
  </si>
  <si>
    <t>วันที่ยื่นคำขอ</t>
  </si>
  <si>
    <t>เลขที่คำขอ</t>
  </si>
  <si>
    <t>เลขที่</t>
  </si>
  <si>
    <t>ระยะเวลาความคุ้มครอง</t>
  </si>
  <si>
    <t>รถไถเดินตามสำหรับกำจัดวัชพืช</t>
  </si>
  <si>
    <t>รศ.ดร.ประเทือง อุษาบริสุทธิ์</t>
  </si>
  <si>
    <r>
      <rPr>
        <sz val="16"/>
        <color rgb="FF000000"/>
        <rFont val="TH Sarabun New"/>
        <family val="2"/>
      </rPr>
      <t>รศ.ดร.อมรฤทธิ์ พุทธิพิพัฒน์ขจร</t>
    </r>
    <r>
      <rPr>
        <sz val="16"/>
        <color indexed="8"/>
        <rFont val="TH Sarabun New"/>
        <family val="2"/>
      </rPr>
      <t xml:space="preserve"> </t>
    </r>
  </si>
  <si>
    <t>Q1
เบิกภาคการอาหาร 
4,000 บาท,
เบิกภาคคอม 4,000 บาท
เบิกภาคเกษตร 
2 ท่าน 8,000 บาท</t>
  </si>
  <si>
    <r>
      <rPr>
        <b/>
        <sz val="16"/>
        <color rgb="FFFF0000"/>
        <rFont val="TH Sarabun New"/>
        <family val="2"/>
      </rPr>
      <t>หมายเหตุ :</t>
    </r>
    <r>
      <rPr>
        <sz val="16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ในเดือนมีนาคม 2569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</si>
</sst>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4"/>
      <name val="TH Sarabun New"/>
      <family val="2"/>
    </font>
    <font>
      <b/>
      <sz val="14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  <font>
      <sz val="10"/>
      <name val="Arial"/>
      <family val="2"/>
    </font>
    <font>
      <sz val="16"/>
      <color theme="1"/>
      <name val="TH Sarabun New"/>
      <family val="2"/>
    </font>
    <font>
      <sz val="16"/>
      <name val="TH Sarabun New"/>
      <family val="2"/>
      <charset val="222"/>
    </font>
    <font>
      <sz val="16"/>
      <name val="Wingdings"/>
      <charset val="2"/>
    </font>
    <font>
      <b/>
      <sz val="16"/>
      <name val="TH Sarabun New"/>
      <family val="2"/>
      <charset val="222"/>
    </font>
    <font>
      <sz val="14"/>
      <name val="TH Sarabun New"/>
      <family val="2"/>
      <charset val="222"/>
    </font>
    <font>
      <sz val="11"/>
      <color theme="1"/>
      <name val="Tahoma"/>
      <family val="2"/>
      <charset val="222"/>
    </font>
    <font>
      <b/>
      <sz val="16"/>
      <color indexed="8"/>
      <name val="TH Sarabun New"/>
      <family val="2"/>
    </font>
    <font>
      <b/>
      <sz val="14"/>
      <color indexed="8"/>
      <name val="TH Sarabun New"/>
      <family val="2"/>
    </font>
    <font>
      <sz val="11"/>
      <color theme="1"/>
      <name val="TH Sarabun New"/>
      <family val="2"/>
    </font>
    <font>
      <sz val="14"/>
      <color theme="1"/>
      <name val="TH Sarabun New"/>
      <family val="2"/>
      <charset val="222"/>
    </font>
    <font>
      <sz val="14"/>
      <name val="Wingdings"/>
      <charset val="2"/>
    </font>
    <font>
      <sz val="14"/>
      <name val="Tahoma"/>
      <family val="2"/>
    </font>
    <font>
      <sz val="16"/>
      <color indexed="8"/>
      <name val="TH Sarabun New"/>
      <family val="2"/>
    </font>
    <font>
      <sz val="16"/>
      <color rgb="FF000000"/>
      <name val="TH Sarabun New"/>
      <family val="2"/>
    </font>
    <font>
      <sz val="16"/>
      <color rgb="FFFF0000"/>
      <name val="TH Sarabun New"/>
      <family val="2"/>
    </font>
    <font>
      <b/>
      <sz val="16"/>
      <color rgb="FFFF000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7" fillId="0" borderId="0" applyFont="0" applyFill="0" applyBorder="0" applyAlignment="0" applyProtection="0"/>
    <xf numFmtId="0" fontId="13" fillId="0" borderId="0"/>
  </cellStyleXfs>
  <cellXfs count="163">
    <xf numFmtId="0" fontId="0" fillId="0" borderId="0" xfId="0"/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  <xf numFmtId="17" fontId="3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textRotation="90"/>
    </xf>
    <xf numFmtId="0" fontId="3" fillId="0" borderId="0" xfId="0" applyFont="1"/>
    <xf numFmtId="0" fontId="5" fillId="0" borderId="1" xfId="2" applyFont="1" applyFill="1" applyAlignment="1">
      <alignment horizontal="center" vertical="top" wrapText="1"/>
    </xf>
    <xf numFmtId="0" fontId="5" fillId="0" borderId="1" xfId="2" applyFont="1" applyFill="1" applyAlignment="1">
      <alignment horizontal="center" vertical="top"/>
    </xf>
    <xf numFmtId="0" fontId="3" fillId="0" borderId="0" xfId="0" applyFont="1" applyAlignment="1">
      <alignment vertical="top"/>
    </xf>
    <xf numFmtId="43" fontId="3" fillId="0" borderId="2" xfId="1" applyFont="1" applyFill="1" applyBorder="1" applyAlignment="1">
      <alignment horizontal="center" vertical="top"/>
    </xf>
    <xf numFmtId="0" fontId="3" fillId="0" borderId="2" xfId="0" applyFont="1" applyBorder="1"/>
    <xf numFmtId="15" fontId="3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43" fontId="3" fillId="0" borderId="0" xfId="1" applyFont="1" applyFill="1" applyBorder="1" applyAlignment="1">
      <alignment horizontal="center" vertical="top"/>
    </xf>
    <xf numFmtId="0" fontId="6" fillId="0" borderId="0" xfId="0" applyFont="1"/>
    <xf numFmtId="0" fontId="4" fillId="0" borderId="2" xfId="0" applyFont="1" applyBorder="1" applyAlignment="1">
      <alignment horizontal="center" vertical="top" wrapText="1" shrinkToFit="1"/>
    </xf>
    <xf numFmtId="0" fontId="6" fillId="0" borderId="0" xfId="0" applyFont="1" applyAlignment="1">
      <alignment vertical="top"/>
    </xf>
    <xf numFmtId="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horizontal="center" textRotation="90"/>
    </xf>
    <xf numFmtId="0" fontId="3" fillId="0" borderId="2" xfId="0" applyFont="1" applyBorder="1" applyAlignment="1">
      <alignment horizontal="center" wrapText="1"/>
    </xf>
    <xf numFmtId="15" fontId="3" fillId="0" borderId="2" xfId="0" applyNumberFormat="1" applyFont="1" applyBorder="1" applyAlignment="1">
      <alignment vertical="top"/>
    </xf>
    <xf numFmtId="43" fontId="3" fillId="0" borderId="2" xfId="1" applyFont="1" applyBorder="1" applyAlignment="1"/>
    <xf numFmtId="43" fontId="3" fillId="0" borderId="2" xfId="1" applyFont="1" applyBorder="1" applyAlignment="1">
      <alignment vertical="top"/>
    </xf>
    <xf numFmtId="43" fontId="3" fillId="0" borderId="2" xfId="0" applyNumberFormat="1" applyFont="1" applyBorder="1" applyAlignment="1">
      <alignment textRotation="90"/>
    </xf>
    <xf numFmtId="0" fontId="3" fillId="0" borderId="2" xfId="0" applyFont="1" applyBorder="1" applyAlignment="1">
      <alignment vertical="top"/>
    </xf>
    <xf numFmtId="13" fontId="3" fillId="0" borderId="2" xfId="1" applyNumberFormat="1" applyFont="1" applyBorder="1" applyAlignment="1">
      <alignment vertical="top"/>
    </xf>
    <xf numFmtId="43" fontId="3" fillId="0" borderId="2" xfId="0" applyNumberFormat="1" applyFont="1" applyBorder="1" applyAlignment="1">
      <alignment horizontal="center" vertical="top" textRotation="90"/>
    </xf>
    <xf numFmtId="43" fontId="3" fillId="0" borderId="2" xfId="1" applyFont="1" applyBorder="1" applyAlignment="1">
      <alignment horizontal="center" vertical="top" textRotation="90"/>
    </xf>
    <xf numFmtId="43" fontId="3" fillId="0" borderId="2" xfId="1" applyFont="1" applyBorder="1" applyAlignment="1">
      <alignment vertical="top" textRotation="90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43" fontId="6" fillId="0" borderId="0" xfId="1" applyFont="1" applyAlignment="1"/>
    <xf numFmtId="0" fontId="8" fillId="0" borderId="0" xfId="0" applyFont="1"/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vertical="top"/>
    </xf>
    <xf numFmtId="15" fontId="9" fillId="0" borderId="2" xfId="0" applyNumberFormat="1" applyFont="1" applyBorder="1" applyAlignment="1">
      <alignment horizontal="center" vertical="top"/>
    </xf>
    <xf numFmtId="0" fontId="9" fillId="0" borderId="2" xfId="0" applyFont="1" applyBorder="1"/>
    <xf numFmtId="0" fontId="9" fillId="0" borderId="0" xfId="0" applyFont="1"/>
    <xf numFmtId="0" fontId="10" fillId="0" borderId="2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15" fontId="6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 wrapText="1"/>
    </xf>
    <xf numFmtId="0" fontId="11" fillId="0" borderId="1" xfId="2" applyFont="1" applyFill="1" applyAlignment="1">
      <alignment horizontal="center" vertical="top" textRotation="90"/>
    </xf>
    <xf numFmtId="15" fontId="9" fillId="0" borderId="2" xfId="0" applyNumberFormat="1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6" xfId="0" applyFont="1" applyBorder="1" applyAlignment="1">
      <alignment vertical="top"/>
    </xf>
    <xf numFmtId="0" fontId="9" fillId="0" borderId="6" xfId="0" applyFont="1" applyBorder="1" applyAlignment="1">
      <alignment horizontal="center" vertical="top"/>
    </xf>
    <xf numFmtId="15" fontId="9" fillId="0" borderId="6" xfId="0" applyNumberFormat="1" applyFont="1" applyBorder="1" applyAlignment="1">
      <alignment horizontal="center" vertical="top"/>
    </xf>
    <xf numFmtId="0" fontId="9" fillId="0" borderId="6" xfId="0" applyFont="1" applyBorder="1"/>
    <xf numFmtId="0" fontId="15" fillId="0" borderId="1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6" fillId="0" borderId="0" xfId="0" applyFont="1"/>
    <xf numFmtId="0" fontId="16" fillId="0" borderId="0" xfId="0" applyFont="1" applyAlignment="1">
      <alignment vertical="top"/>
    </xf>
    <xf numFmtId="0" fontId="15" fillId="0" borderId="2" xfId="0" applyFont="1" applyBorder="1" applyAlignment="1">
      <alignment horizontal="center" vertical="top"/>
    </xf>
    <xf numFmtId="0" fontId="17" fillId="0" borderId="2" xfId="0" applyFont="1" applyBorder="1" applyAlignment="1">
      <alignment horizontal="center" vertical="top"/>
    </xf>
    <xf numFmtId="0" fontId="17" fillId="0" borderId="2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/>
    </xf>
    <xf numFmtId="0" fontId="19" fillId="0" borderId="2" xfId="0" applyFont="1" applyBorder="1" applyAlignment="1">
      <alignment horizontal="center" vertical="top"/>
    </xf>
    <xf numFmtId="15" fontId="12" fillId="0" borderId="2" xfId="0" applyNumberFormat="1" applyFont="1" applyBorder="1" applyAlignment="1">
      <alignment horizontal="center" vertical="top"/>
    </xf>
    <xf numFmtId="15" fontId="17" fillId="0" borderId="2" xfId="0" applyNumberFormat="1" applyFont="1" applyBorder="1" applyAlignment="1">
      <alignment horizontal="center" vertical="top"/>
    </xf>
    <xf numFmtId="43" fontId="12" fillId="0" borderId="2" xfId="1" applyFont="1" applyBorder="1" applyAlignment="1">
      <alignment horizontal="center" vertical="top" wrapText="1"/>
    </xf>
    <xf numFmtId="0" fontId="20" fillId="0" borderId="0" xfId="0" applyFont="1"/>
    <xf numFmtId="0" fontId="20" fillId="0" borderId="0" xfId="0" applyFont="1" applyAlignment="1">
      <alignment horizontal="center" vertical="top"/>
    </xf>
    <xf numFmtId="0" fontId="14" fillId="0" borderId="2" xfId="0" applyFont="1" applyBorder="1" applyAlignment="1">
      <alignment horizontal="center" vertical="top" wrapText="1"/>
    </xf>
    <xf numFmtId="0" fontId="20" fillId="0" borderId="0" xfId="0" applyFont="1" applyAlignment="1">
      <alignment vertical="top"/>
    </xf>
    <xf numFmtId="43" fontId="6" fillId="0" borderId="2" xfId="1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top"/>
    </xf>
    <xf numFmtId="0" fontId="20" fillId="0" borderId="2" xfId="0" applyFont="1" applyBorder="1" applyAlignment="1">
      <alignment horizontal="center" vertical="top" wrapText="1"/>
    </xf>
    <xf numFmtId="43" fontId="20" fillId="0" borderId="2" xfId="1" applyFont="1" applyBorder="1" applyAlignment="1">
      <alignment horizontal="center" vertical="top" wrapText="1"/>
    </xf>
    <xf numFmtId="0" fontId="20" fillId="0" borderId="2" xfId="4" applyFont="1" applyBorder="1" applyAlignment="1">
      <alignment horizontal="center" vertical="top" wrapText="1"/>
    </xf>
    <xf numFmtId="0" fontId="20" fillId="0" borderId="2" xfId="4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20" fillId="0" borderId="0" xfId="4" applyFont="1" applyAlignment="1">
      <alignment horizontal="center" vertical="top"/>
    </xf>
    <xf numFmtId="43" fontId="20" fillId="0" borderId="0" xfId="1" applyFont="1" applyBorder="1" applyAlignment="1">
      <alignment horizontal="center" vertical="top" wrapText="1"/>
    </xf>
    <xf numFmtId="0" fontId="20" fillId="0" borderId="0" xfId="4" applyFont="1" applyAlignment="1">
      <alignment horizontal="center" vertical="top" wrapText="1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43" fontId="20" fillId="0" borderId="0" xfId="1" applyFont="1" applyAlignment="1">
      <alignment horizontal="center" wrapText="1"/>
    </xf>
    <xf numFmtId="0" fontId="15" fillId="0" borderId="6" xfId="0" applyFont="1" applyBorder="1" applyAlignment="1">
      <alignment horizontal="center" vertical="top" textRotation="90" wrapText="1"/>
    </xf>
    <xf numFmtId="0" fontId="15" fillId="0" borderId="14" xfId="0" applyFont="1" applyBorder="1" applyAlignment="1">
      <alignment horizontal="center" vertical="top" textRotation="90" wrapText="1"/>
    </xf>
    <xf numFmtId="0" fontId="15" fillId="0" borderId="2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6" xfId="0" applyFont="1" applyBorder="1" applyAlignment="1">
      <alignment horizontal="center" vertical="top" wrapText="1"/>
    </xf>
    <xf numFmtId="0" fontId="15" fillId="0" borderId="14" xfId="0" applyFont="1" applyBorder="1" applyAlignment="1">
      <alignment horizontal="center" vertical="top"/>
    </xf>
    <xf numFmtId="0" fontId="15" fillId="0" borderId="6" xfId="0" applyFont="1" applyBorder="1" applyAlignment="1">
      <alignment horizontal="center" vertical="top"/>
    </xf>
    <xf numFmtId="0" fontId="15" fillId="0" borderId="14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top" wrapText="1"/>
    </xf>
    <xf numFmtId="0" fontId="15" fillId="0" borderId="15" xfId="0" applyFont="1" applyBorder="1" applyAlignment="1">
      <alignment horizontal="center" vertical="top"/>
    </xf>
    <xf numFmtId="0" fontId="15" fillId="0" borderId="8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15" fillId="0" borderId="16" xfId="0" applyFont="1" applyBorder="1" applyAlignment="1">
      <alignment horizontal="center" vertical="top"/>
    </xf>
    <xf numFmtId="0" fontId="15" fillId="0" borderId="5" xfId="0" applyFont="1" applyBorder="1" applyAlignment="1">
      <alignment horizontal="center" vertical="top"/>
    </xf>
    <xf numFmtId="0" fontId="5" fillId="0" borderId="1" xfId="2" applyFont="1" applyFill="1" applyAlignment="1">
      <alignment horizontal="center"/>
    </xf>
    <xf numFmtId="0" fontId="5" fillId="0" borderId="1" xfId="2" applyFont="1" applyFill="1" applyAlignment="1">
      <alignment horizontal="center" vertical="top" shrinkToFit="1"/>
    </xf>
    <xf numFmtId="0" fontId="5" fillId="0" borderId="1" xfId="2" applyFont="1" applyFill="1" applyAlignment="1">
      <alignment horizontal="center" vertical="top" wrapText="1"/>
    </xf>
    <xf numFmtId="0" fontId="5" fillId="0" borderId="1" xfId="2" applyFont="1" applyFill="1" applyAlignment="1">
      <alignment horizontal="center" vertical="top"/>
    </xf>
    <xf numFmtId="0" fontId="5" fillId="0" borderId="1" xfId="2" applyFont="1" applyFill="1" applyAlignment="1">
      <alignment horizontal="center" vertical="top" textRotation="90"/>
    </xf>
    <xf numFmtId="0" fontId="4" fillId="0" borderId="6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top" wrapText="1" shrinkToFit="1"/>
    </xf>
    <xf numFmtId="0" fontId="4" fillId="0" borderId="4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 shrinkToFit="1"/>
    </xf>
    <xf numFmtId="0" fontId="4" fillId="0" borderId="5" xfId="0" applyFont="1" applyBorder="1" applyAlignment="1">
      <alignment horizontal="center" vertical="top" wrapText="1" shrinkToFit="1"/>
    </xf>
    <xf numFmtId="0" fontId="4" fillId="0" borderId="10" xfId="0" applyFont="1" applyBorder="1" applyAlignment="1">
      <alignment horizontal="center" vertical="top" wrapText="1" shrinkToFit="1"/>
    </xf>
    <xf numFmtId="0" fontId="4" fillId="0" borderId="13" xfId="0" applyFont="1" applyBorder="1" applyAlignment="1">
      <alignment horizontal="center" vertical="top" wrapText="1" shrinkToFit="1"/>
    </xf>
    <xf numFmtId="0" fontId="4" fillId="0" borderId="4" xfId="0" applyFont="1" applyBorder="1" applyAlignment="1">
      <alignment horizontal="center" vertical="top" wrapText="1" shrinkToFit="1"/>
    </xf>
    <xf numFmtId="0" fontId="4" fillId="0" borderId="6" xfId="0" applyFont="1" applyBorder="1" applyAlignment="1">
      <alignment horizontal="center" vertical="top" wrapText="1" shrinkToFit="1"/>
    </xf>
    <xf numFmtId="0" fontId="4" fillId="0" borderId="11" xfId="0" applyFont="1" applyBorder="1" applyAlignment="1">
      <alignment horizontal="center" vertical="top" wrapText="1" shrinkToFit="1"/>
    </xf>
    <xf numFmtId="0" fontId="4" fillId="0" borderId="14" xfId="0" applyFont="1" applyBorder="1" applyAlignment="1">
      <alignment horizontal="center" vertical="top" wrapText="1" shrinkToFit="1"/>
    </xf>
    <xf numFmtId="0" fontId="4" fillId="0" borderId="7" xfId="0" applyFont="1" applyBorder="1" applyAlignment="1">
      <alignment horizontal="center" vertical="top" wrapText="1" shrinkToFit="1"/>
    </xf>
    <xf numFmtId="0" fontId="4" fillId="0" borderId="8" xfId="0" applyFont="1" applyBorder="1" applyAlignment="1">
      <alignment horizontal="center" vertical="top" wrapText="1" shrinkToFit="1"/>
    </xf>
    <xf numFmtId="187" fontId="4" fillId="0" borderId="6" xfId="3" applyNumberFormat="1" applyFont="1" applyBorder="1" applyAlignment="1">
      <alignment horizontal="center" vertical="top" wrapText="1" shrinkToFit="1"/>
    </xf>
    <xf numFmtId="187" fontId="4" fillId="0" borderId="11" xfId="3" applyNumberFormat="1" applyFont="1" applyBorder="1" applyAlignment="1">
      <alignment horizontal="center" vertical="top" wrapText="1" shrinkToFit="1"/>
    </xf>
    <xf numFmtId="187" fontId="4" fillId="0" borderId="14" xfId="3" applyNumberFormat="1" applyFont="1" applyBorder="1" applyAlignment="1">
      <alignment horizontal="center" vertical="top" wrapText="1" shrinkToFit="1"/>
    </xf>
    <xf numFmtId="0" fontId="4" fillId="0" borderId="2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 textRotation="90"/>
    </xf>
    <xf numFmtId="0" fontId="4" fillId="0" borderId="11" xfId="0" applyFont="1" applyBorder="1" applyAlignment="1">
      <alignment horizontal="center" vertical="top" textRotation="90"/>
    </xf>
    <xf numFmtId="0" fontId="4" fillId="0" borderId="14" xfId="0" applyFont="1" applyBorder="1" applyAlignment="1">
      <alignment horizontal="center" vertical="top" textRotation="90"/>
    </xf>
    <xf numFmtId="0" fontId="4" fillId="0" borderId="2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 wrapText="1" shrinkToFit="1"/>
    </xf>
    <xf numFmtId="43" fontId="4" fillId="0" borderId="6" xfId="1" applyFont="1" applyBorder="1" applyAlignment="1">
      <alignment horizontal="center" vertical="top" wrapText="1" shrinkToFit="1"/>
    </xf>
    <xf numFmtId="43" fontId="4" fillId="0" borderId="11" xfId="1" applyFont="1" applyBorder="1" applyAlignment="1">
      <alignment horizontal="center" vertical="top" wrapText="1" shrinkToFit="1"/>
    </xf>
    <xf numFmtId="43" fontId="4" fillId="0" borderId="14" xfId="1" applyFont="1" applyBorder="1" applyAlignment="1">
      <alignment horizontal="center" vertical="top" wrapText="1" shrinkToFit="1"/>
    </xf>
    <xf numFmtId="0" fontId="11" fillId="0" borderId="1" xfId="2" applyFont="1" applyFill="1" applyAlignment="1">
      <alignment horizontal="center" vertical="top" textRotation="90"/>
    </xf>
    <xf numFmtId="0" fontId="11" fillId="0" borderId="1" xfId="2" applyFont="1" applyFill="1" applyAlignment="1">
      <alignment horizontal="center"/>
    </xf>
    <xf numFmtId="0" fontId="11" fillId="0" borderId="1" xfId="2" applyFont="1" applyFill="1" applyAlignment="1">
      <alignment horizontal="center" vertical="top" wrapText="1"/>
    </xf>
    <xf numFmtId="0" fontId="11" fillId="0" borderId="1" xfId="2" applyFont="1" applyFill="1" applyAlignment="1">
      <alignment horizontal="center" vertical="top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14" fillId="0" borderId="6" xfId="4" applyFont="1" applyBorder="1" applyAlignment="1">
      <alignment horizontal="center" vertical="top" wrapText="1"/>
    </xf>
    <xf numFmtId="0" fontId="14" fillId="0" borderId="14" xfId="4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top" wrapText="1"/>
    </xf>
    <xf numFmtId="0" fontId="14" fillId="0" borderId="14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top"/>
    </xf>
    <xf numFmtId="0" fontId="14" fillId="0" borderId="14" xfId="0" applyFont="1" applyBorder="1" applyAlignment="1">
      <alignment horizontal="center" vertical="top"/>
    </xf>
    <xf numFmtId="0" fontId="14" fillId="0" borderId="0" xfId="4" applyFont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top"/>
    </xf>
    <xf numFmtId="0" fontId="14" fillId="0" borderId="14" xfId="4" applyFont="1" applyBorder="1" applyAlignment="1">
      <alignment horizontal="center" vertical="top"/>
    </xf>
    <xf numFmtId="43" fontId="14" fillId="0" borderId="6" xfId="1" applyFont="1" applyBorder="1" applyAlignment="1">
      <alignment horizontal="center" vertical="top" wrapText="1"/>
    </xf>
    <xf numFmtId="43" fontId="14" fillId="0" borderId="14" xfId="1" applyFont="1" applyBorder="1" applyAlignment="1">
      <alignment horizontal="center" vertical="top" wrapText="1"/>
    </xf>
    <xf numFmtId="0" fontId="14" fillId="0" borderId="7" xfId="4" applyFont="1" applyBorder="1" applyAlignment="1">
      <alignment horizontal="center" vertical="top" wrapText="1"/>
    </xf>
    <xf numFmtId="0" fontId="14" fillId="0" borderId="8" xfId="4" applyFont="1" applyBorder="1" applyAlignment="1">
      <alignment horizontal="center" vertical="top" wrapText="1"/>
    </xf>
  </cellXfs>
  <cellStyles count="5">
    <cellStyle name="Comma 2" xfId="3" xr:uid="{923F13AA-500F-4EAD-A8E3-B11D7337BABB}"/>
    <cellStyle name="การคำนวณ" xfId="2" builtinId="22"/>
    <cellStyle name="จุลภาค" xfId="1" builtinId="3"/>
    <cellStyle name="ปกติ" xfId="0" builtinId="0"/>
    <cellStyle name="ปกติ 2" xfId="4" xr:uid="{6EA062B0-3C49-4D18-9189-53979355D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0B60-39EE-48A7-B300-45F535313AC9}">
  <dimension ref="A1:T8"/>
  <sheetViews>
    <sheetView zoomScaleNormal="100" workbookViewId="0">
      <selection activeCell="C5" sqref="C5"/>
    </sheetView>
  </sheetViews>
  <sheetFormatPr defaultRowHeight="21.75" x14ac:dyDescent="0.5"/>
  <cols>
    <col min="1" max="1" width="5.25" style="6" customWidth="1"/>
    <col min="2" max="2" width="8.125" style="6" customWidth="1"/>
    <col min="3" max="3" width="25.5" style="6" customWidth="1"/>
    <col min="4" max="4" width="19.875" style="6" customWidth="1"/>
    <col min="5" max="5" width="21.125" style="6" customWidth="1"/>
    <col min="6" max="6" width="15" style="6" customWidth="1"/>
    <col min="7" max="7" width="7.375" style="6" customWidth="1"/>
    <col min="8" max="8" width="7.125" style="6" customWidth="1"/>
    <col min="9" max="9" width="7.625" style="6" customWidth="1"/>
    <col min="10" max="10" width="7.5" style="6" customWidth="1"/>
    <col min="11" max="11" width="9.75" style="6" customWidth="1"/>
    <col min="12" max="12" width="12" style="6" customWidth="1"/>
    <col min="13" max="13" width="15.75" style="6" customWidth="1"/>
    <col min="14" max="14" width="10.5" style="6" customWidth="1"/>
    <col min="15" max="15" width="10.75" style="6" customWidth="1"/>
    <col min="16" max="16" width="9.875" style="6" customWidth="1"/>
    <col min="17" max="17" width="9.125" style="6" customWidth="1"/>
    <col min="18" max="19" width="9" style="6" customWidth="1"/>
    <col min="20" max="20" width="5.125" style="6" customWidth="1"/>
    <col min="21" max="16384" width="9" style="6"/>
  </cols>
  <sheetData>
    <row r="1" spans="1:20" ht="24" x14ac:dyDescent="0.55000000000000004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</row>
    <row r="2" spans="1:20" ht="24" x14ac:dyDescent="0.5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</row>
    <row r="3" spans="1:20" s="9" customFormat="1" ht="18.75" customHeight="1" x14ac:dyDescent="0.2">
      <c r="A3" s="109" t="s">
        <v>2</v>
      </c>
      <c r="B3" s="109" t="s">
        <v>3</v>
      </c>
      <c r="C3" s="110" t="s">
        <v>4</v>
      </c>
      <c r="D3" s="110" t="s">
        <v>5</v>
      </c>
      <c r="E3" s="110" t="s">
        <v>6</v>
      </c>
      <c r="F3" s="109" t="s">
        <v>7</v>
      </c>
      <c r="G3" s="110" t="s">
        <v>8</v>
      </c>
      <c r="H3" s="110"/>
      <c r="I3" s="110" t="s">
        <v>9</v>
      </c>
      <c r="J3" s="110"/>
      <c r="K3" s="110" t="s">
        <v>10</v>
      </c>
      <c r="L3" s="110"/>
      <c r="M3" s="110" t="s">
        <v>11</v>
      </c>
      <c r="N3" s="109" t="s">
        <v>12</v>
      </c>
      <c r="O3" s="109" t="s">
        <v>13</v>
      </c>
      <c r="P3" s="110" t="s">
        <v>14</v>
      </c>
      <c r="Q3" s="110"/>
      <c r="R3" s="110"/>
      <c r="S3" s="109" t="s">
        <v>15</v>
      </c>
      <c r="T3" s="111" t="s">
        <v>16</v>
      </c>
    </row>
    <row r="4" spans="1:20" s="9" customFormat="1" ht="113.25" customHeight="1" x14ac:dyDescent="0.2">
      <c r="A4" s="109"/>
      <c r="B4" s="109"/>
      <c r="C4" s="110"/>
      <c r="D4" s="110"/>
      <c r="E4" s="110"/>
      <c r="F4" s="110"/>
      <c r="G4" s="7" t="s">
        <v>17</v>
      </c>
      <c r="H4" s="7" t="s">
        <v>18</v>
      </c>
      <c r="I4" s="7" t="s">
        <v>19</v>
      </c>
      <c r="J4" s="7" t="s">
        <v>20</v>
      </c>
      <c r="K4" s="8" t="s">
        <v>21</v>
      </c>
      <c r="L4" s="8" t="s">
        <v>22</v>
      </c>
      <c r="M4" s="110"/>
      <c r="N4" s="109"/>
      <c r="O4" s="109"/>
      <c r="P4" s="7" t="s">
        <v>23</v>
      </c>
      <c r="Q4" s="7" t="s">
        <v>24</v>
      </c>
      <c r="R4" s="7" t="s">
        <v>25</v>
      </c>
      <c r="S4" s="110"/>
      <c r="T4" s="111"/>
    </row>
    <row r="5" spans="1:20" s="9" customFormat="1" ht="184.5" customHeight="1" x14ac:dyDescent="0.2">
      <c r="A5" s="1">
        <v>1</v>
      </c>
      <c r="B5" s="3"/>
      <c r="C5" s="1" t="s">
        <v>26</v>
      </c>
      <c r="D5" s="2" t="s">
        <v>27</v>
      </c>
      <c r="E5" s="1" t="s">
        <v>28</v>
      </c>
      <c r="F5" s="1" t="s">
        <v>29</v>
      </c>
      <c r="G5" s="1" t="s">
        <v>30</v>
      </c>
      <c r="H5" s="1" t="s">
        <v>30</v>
      </c>
      <c r="I5" s="1" t="s">
        <v>30</v>
      </c>
      <c r="J5" s="1" t="s">
        <v>30</v>
      </c>
      <c r="K5" s="10" t="s">
        <v>30</v>
      </c>
      <c r="L5" s="10">
        <v>16050200</v>
      </c>
      <c r="M5" s="1" t="s">
        <v>31</v>
      </c>
      <c r="N5" s="4" t="s">
        <v>32</v>
      </c>
      <c r="O5" s="4" t="s">
        <v>30</v>
      </c>
      <c r="P5" s="1" t="s">
        <v>30</v>
      </c>
      <c r="Q5" s="1" t="s">
        <v>30</v>
      </c>
      <c r="R5" s="1" t="s">
        <v>30</v>
      </c>
      <c r="S5" s="2"/>
      <c r="T5" s="5"/>
    </row>
    <row r="6" spans="1:20" ht="87" x14ac:dyDescent="0.5">
      <c r="A6" s="2">
        <v>2</v>
      </c>
      <c r="B6" s="11"/>
      <c r="C6" s="1" t="s">
        <v>33</v>
      </c>
      <c r="D6" s="2" t="s">
        <v>34</v>
      </c>
      <c r="E6" s="1" t="s">
        <v>28</v>
      </c>
      <c r="F6" s="1" t="s">
        <v>35</v>
      </c>
      <c r="G6" s="2" t="s">
        <v>30</v>
      </c>
      <c r="H6" s="2" t="s">
        <v>30</v>
      </c>
      <c r="I6" s="2" t="s">
        <v>30</v>
      </c>
      <c r="J6" s="2" t="s">
        <v>30</v>
      </c>
      <c r="K6" s="10">
        <v>20000</v>
      </c>
      <c r="L6" s="10" t="s">
        <v>30</v>
      </c>
      <c r="M6" s="1" t="s">
        <v>36</v>
      </c>
      <c r="N6" s="12">
        <v>244411</v>
      </c>
      <c r="O6" s="12">
        <v>244776</v>
      </c>
      <c r="P6" s="2" t="s">
        <v>30</v>
      </c>
      <c r="Q6" s="2" t="s">
        <v>30</v>
      </c>
      <c r="R6" s="2" t="s">
        <v>30</v>
      </c>
      <c r="S6" s="2"/>
      <c r="T6" s="11"/>
    </row>
    <row r="7" spans="1:20" ht="130.5" x14ac:dyDescent="0.5">
      <c r="A7" s="2">
        <v>3</v>
      </c>
      <c r="B7" s="11"/>
      <c r="C7" s="1" t="s">
        <v>37</v>
      </c>
      <c r="D7" s="2" t="s">
        <v>38</v>
      </c>
      <c r="E7" s="1" t="s">
        <v>39</v>
      </c>
      <c r="F7" s="1" t="s">
        <v>40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10">
        <v>1628000</v>
      </c>
      <c r="M7" s="1" t="s">
        <v>41</v>
      </c>
      <c r="N7" s="12">
        <v>25265</v>
      </c>
      <c r="O7" s="12">
        <v>25630</v>
      </c>
      <c r="P7" s="2" t="s">
        <v>30</v>
      </c>
      <c r="Q7" s="2" t="s">
        <v>30</v>
      </c>
      <c r="R7" s="2" t="s">
        <v>30</v>
      </c>
      <c r="S7" s="2"/>
      <c r="T7" s="2"/>
    </row>
    <row r="8" spans="1:20" s="9" customFormat="1" x14ac:dyDescent="0.2">
      <c r="C8" s="13"/>
      <c r="D8" s="14"/>
      <c r="E8" s="13"/>
      <c r="F8" s="13"/>
      <c r="G8" s="14"/>
      <c r="H8" s="14"/>
      <c r="I8" s="14"/>
      <c r="J8" s="14"/>
      <c r="K8" s="14"/>
      <c r="L8" s="15"/>
      <c r="M8" s="13"/>
    </row>
  </sheetData>
  <mergeCells count="17">
    <mergeCell ref="S3:S4"/>
    <mergeCell ref="A1:T1"/>
    <mergeCell ref="A2:T2"/>
    <mergeCell ref="A3:A4"/>
    <mergeCell ref="B3:B4"/>
    <mergeCell ref="C3:C4"/>
    <mergeCell ref="D3:D4"/>
    <mergeCell ref="E3:E4"/>
    <mergeCell ref="F3:F4"/>
    <mergeCell ref="G3:H3"/>
    <mergeCell ref="I3:J3"/>
    <mergeCell ref="T3:T4"/>
    <mergeCell ref="K3:L3"/>
    <mergeCell ref="M3:M4"/>
    <mergeCell ref="N3:N4"/>
    <mergeCell ref="O3:O4"/>
    <mergeCell ref="P3:R3"/>
  </mergeCells>
  <pageMargins left="0.23622047244094491" right="0" top="0.31496062992125984" bottom="0" header="0.51181102362204722" footer="0"/>
  <pageSetup paperSize="9" scale="6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024C-890C-48FB-8699-C530A8F91BA2}">
  <dimension ref="A1:X13"/>
  <sheetViews>
    <sheetView zoomScaleNormal="100" workbookViewId="0">
      <selection activeCell="E8" sqref="E8"/>
    </sheetView>
  </sheetViews>
  <sheetFormatPr defaultColWidth="9" defaultRowHeight="24" x14ac:dyDescent="0.55000000000000004"/>
  <cols>
    <col min="1" max="1" width="4.875" style="16" customWidth="1"/>
    <col min="2" max="2" width="23.375" style="16" customWidth="1"/>
    <col min="3" max="3" width="20.125" style="31" customWidth="1"/>
    <col min="4" max="4" width="6.375" style="31" customWidth="1"/>
    <col min="5" max="5" width="7.375" style="31" customWidth="1"/>
    <col min="6" max="6" width="15.25" style="32" customWidth="1"/>
    <col min="7" max="7" width="10.75" style="33" customWidth="1"/>
    <col min="8" max="8" width="13.625" style="33" customWidth="1"/>
    <col min="9" max="9" width="14.5" style="16" customWidth="1"/>
    <col min="10" max="10" width="5.875" style="16" customWidth="1"/>
    <col min="11" max="12" width="5.125" style="16" customWidth="1"/>
    <col min="13" max="13" width="4.375" style="16" customWidth="1"/>
    <col min="14" max="14" width="9.875" style="16" customWidth="1"/>
    <col min="15" max="15" width="9.625" style="16" customWidth="1"/>
    <col min="16" max="17" width="8.625" style="16" customWidth="1"/>
    <col min="18" max="18" width="9.75" style="16" customWidth="1"/>
    <col min="19" max="19" width="8.875" style="16" customWidth="1"/>
    <col min="20" max="20" width="8" style="16" customWidth="1"/>
    <col min="21" max="21" width="8.625" style="31" customWidth="1"/>
    <col min="22" max="22" width="10.625" style="16" customWidth="1"/>
    <col min="23" max="23" width="10.75" style="34" customWidth="1"/>
    <col min="24" max="24" width="7.75" style="16" customWidth="1"/>
    <col min="25" max="25" width="10.375" style="16" bestFit="1" customWidth="1"/>
    <col min="26" max="16384" width="9" style="16"/>
  </cols>
  <sheetData>
    <row r="1" spans="1:24" x14ac:dyDescent="0.55000000000000004">
      <c r="A1" s="114" t="s">
        <v>42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spans="1:24" ht="24.75" customHeight="1" x14ac:dyDescent="0.55000000000000004">
      <c r="A2" s="115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1:24" s="18" customFormat="1" ht="24.75" customHeight="1" x14ac:dyDescent="0.2">
      <c r="A3" s="116" t="s">
        <v>2</v>
      </c>
      <c r="B3" s="119" t="s">
        <v>4</v>
      </c>
      <c r="C3" s="120" t="s">
        <v>5</v>
      </c>
      <c r="D3" s="123" t="s">
        <v>43</v>
      </c>
      <c r="E3" s="120"/>
      <c r="F3" s="124" t="s">
        <v>44</v>
      </c>
      <c r="G3" s="127" t="s">
        <v>45</v>
      </c>
      <c r="H3" s="128"/>
      <c r="I3" s="129" t="s">
        <v>10</v>
      </c>
      <c r="J3" s="132" t="s">
        <v>46</v>
      </c>
      <c r="K3" s="132"/>
      <c r="L3" s="132"/>
      <c r="M3" s="132"/>
      <c r="N3" s="137" t="s">
        <v>47</v>
      </c>
      <c r="O3" s="138"/>
      <c r="P3" s="137" t="s">
        <v>9</v>
      </c>
      <c r="Q3" s="138"/>
      <c r="R3" s="123" t="s">
        <v>48</v>
      </c>
      <c r="S3" s="120"/>
      <c r="T3" s="123" t="s">
        <v>49</v>
      </c>
      <c r="U3" s="120"/>
      <c r="V3" s="136" t="s">
        <v>50</v>
      </c>
      <c r="W3" s="140" t="s">
        <v>16</v>
      </c>
      <c r="X3" s="133" t="s">
        <v>51</v>
      </c>
    </row>
    <row r="4" spans="1:24" s="18" customFormat="1" ht="36" customHeight="1" x14ac:dyDescent="0.2">
      <c r="A4" s="117"/>
      <c r="B4" s="119"/>
      <c r="C4" s="121"/>
      <c r="D4" s="124" t="s">
        <v>21</v>
      </c>
      <c r="E4" s="124" t="s">
        <v>22</v>
      </c>
      <c r="F4" s="125"/>
      <c r="G4" s="124" t="s">
        <v>52</v>
      </c>
      <c r="H4" s="124" t="s">
        <v>53</v>
      </c>
      <c r="I4" s="130"/>
      <c r="J4" s="136" t="s">
        <v>54</v>
      </c>
      <c r="K4" s="136" t="s">
        <v>55</v>
      </c>
      <c r="L4" s="136" t="s">
        <v>56</v>
      </c>
      <c r="M4" s="136" t="s">
        <v>57</v>
      </c>
      <c r="N4" s="112" t="s">
        <v>58</v>
      </c>
      <c r="O4" s="112" t="s">
        <v>59</v>
      </c>
      <c r="P4" s="112" t="s">
        <v>60</v>
      </c>
      <c r="Q4" s="112" t="s">
        <v>61</v>
      </c>
      <c r="R4" s="139"/>
      <c r="S4" s="122"/>
      <c r="T4" s="139"/>
      <c r="U4" s="122"/>
      <c r="V4" s="136"/>
      <c r="W4" s="141"/>
      <c r="X4" s="134"/>
    </row>
    <row r="5" spans="1:24" s="18" customFormat="1" ht="66.75" customHeight="1" x14ac:dyDescent="0.2">
      <c r="A5" s="118"/>
      <c r="B5" s="119"/>
      <c r="C5" s="122"/>
      <c r="D5" s="126"/>
      <c r="E5" s="126"/>
      <c r="F5" s="126"/>
      <c r="G5" s="126"/>
      <c r="H5" s="126"/>
      <c r="I5" s="131"/>
      <c r="J5" s="132"/>
      <c r="K5" s="132"/>
      <c r="L5" s="132"/>
      <c r="M5" s="132"/>
      <c r="N5" s="113"/>
      <c r="O5" s="113"/>
      <c r="P5" s="113"/>
      <c r="Q5" s="113"/>
      <c r="R5" s="17" t="s">
        <v>62</v>
      </c>
      <c r="S5" s="17" t="s">
        <v>63</v>
      </c>
      <c r="T5" s="17" t="s">
        <v>62</v>
      </c>
      <c r="U5" s="17" t="s">
        <v>63</v>
      </c>
      <c r="V5" s="136"/>
      <c r="W5" s="142"/>
      <c r="X5" s="135"/>
    </row>
    <row r="6" spans="1:24" s="6" customFormat="1" ht="65.25" x14ac:dyDescent="0.5">
      <c r="A6" s="2">
        <v>1</v>
      </c>
      <c r="B6" s="1" t="s">
        <v>64</v>
      </c>
      <c r="C6" s="2" t="s">
        <v>65</v>
      </c>
      <c r="D6" s="2">
        <v>2</v>
      </c>
      <c r="E6" s="2">
        <v>1</v>
      </c>
      <c r="F6" s="1" t="s">
        <v>29</v>
      </c>
      <c r="G6" s="2" t="s">
        <v>30</v>
      </c>
      <c r="H6" s="2" t="s">
        <v>66</v>
      </c>
      <c r="I6" s="19">
        <v>481000</v>
      </c>
      <c r="J6" s="20">
        <f>I6*15%</f>
        <v>72150</v>
      </c>
      <c r="K6" s="20">
        <f t="shared" ref="K6:K13" si="0">J6/3</f>
        <v>24050</v>
      </c>
      <c r="L6" s="20">
        <f t="shared" ref="L6:L13" si="1">J6/3</f>
        <v>24050</v>
      </c>
      <c r="M6" s="20">
        <f t="shared" ref="M6:M13" si="2">J6/3</f>
        <v>24050</v>
      </c>
      <c r="N6" s="21" t="s">
        <v>67</v>
      </c>
      <c r="O6" s="2" t="s">
        <v>30</v>
      </c>
      <c r="P6" s="2" t="s">
        <v>30</v>
      </c>
      <c r="Q6" s="2" t="s">
        <v>30</v>
      </c>
      <c r="R6" s="12">
        <v>25239</v>
      </c>
      <c r="S6" s="12">
        <v>25476</v>
      </c>
      <c r="T6" s="22">
        <v>25249</v>
      </c>
      <c r="U6" s="12">
        <v>25476</v>
      </c>
      <c r="V6" s="2" t="s">
        <v>68</v>
      </c>
      <c r="W6" s="23"/>
      <c r="X6" s="11"/>
    </row>
    <row r="7" spans="1:24" ht="130.5" x14ac:dyDescent="0.55000000000000004">
      <c r="A7" s="2">
        <v>2</v>
      </c>
      <c r="B7" s="1" t="s">
        <v>69</v>
      </c>
      <c r="C7" s="2" t="s">
        <v>70</v>
      </c>
      <c r="D7" s="2">
        <v>15</v>
      </c>
      <c r="E7" s="2">
        <v>2</v>
      </c>
      <c r="F7" s="1" t="s">
        <v>29</v>
      </c>
      <c r="G7" s="2" t="s">
        <v>30</v>
      </c>
      <c r="H7" s="2" t="s">
        <v>71</v>
      </c>
      <c r="I7" s="19">
        <v>24000000</v>
      </c>
      <c r="J7" s="20">
        <f>I7*15%</f>
        <v>3600000</v>
      </c>
      <c r="K7" s="20">
        <f t="shared" si="0"/>
        <v>1200000</v>
      </c>
      <c r="L7" s="20">
        <f t="shared" si="1"/>
        <v>1200000</v>
      </c>
      <c r="M7" s="20">
        <f t="shared" si="2"/>
        <v>1200000</v>
      </c>
      <c r="N7" s="1" t="s">
        <v>72</v>
      </c>
      <c r="O7" s="2" t="s">
        <v>30</v>
      </c>
      <c r="P7" s="2" t="s">
        <v>30</v>
      </c>
      <c r="Q7" s="2" t="s">
        <v>30</v>
      </c>
      <c r="R7" s="12">
        <v>25258</v>
      </c>
      <c r="S7" s="12">
        <v>25964</v>
      </c>
      <c r="T7" s="12">
        <v>25355</v>
      </c>
      <c r="U7" s="12">
        <v>25568</v>
      </c>
      <c r="V7" s="2" t="s">
        <v>73</v>
      </c>
      <c r="W7" s="23"/>
      <c r="X7" s="11"/>
    </row>
    <row r="8" spans="1:24" s="6" customFormat="1" ht="130.5" x14ac:dyDescent="0.5">
      <c r="A8" s="2">
        <v>3</v>
      </c>
      <c r="B8" s="1" t="s">
        <v>74</v>
      </c>
      <c r="C8" s="2" t="s">
        <v>27</v>
      </c>
      <c r="D8" s="2">
        <v>8</v>
      </c>
      <c r="E8" s="2">
        <v>3</v>
      </c>
      <c r="F8" s="1" t="s">
        <v>29</v>
      </c>
      <c r="G8" s="2" t="s">
        <v>30</v>
      </c>
      <c r="H8" s="1" t="s">
        <v>75</v>
      </c>
      <c r="I8" s="24">
        <v>15000000</v>
      </c>
      <c r="J8" s="20">
        <f>(I8-W8)*15%</f>
        <v>900000</v>
      </c>
      <c r="K8" s="25">
        <f t="shared" si="0"/>
        <v>300000</v>
      </c>
      <c r="L8" s="25">
        <f t="shared" si="1"/>
        <v>300000</v>
      </c>
      <c r="M8" s="25">
        <f t="shared" si="2"/>
        <v>300000</v>
      </c>
      <c r="N8" s="21" t="s">
        <v>76</v>
      </c>
      <c r="O8" s="2" t="s">
        <v>30</v>
      </c>
      <c r="P8" s="2" t="s">
        <v>30</v>
      </c>
      <c r="Q8" s="2" t="s">
        <v>30</v>
      </c>
      <c r="R8" s="12">
        <v>25265</v>
      </c>
      <c r="S8" s="12">
        <v>26114</v>
      </c>
      <c r="T8" s="12">
        <v>25572</v>
      </c>
      <c r="U8" s="22">
        <v>25658</v>
      </c>
      <c r="V8" s="2" t="s">
        <v>77</v>
      </c>
      <c r="W8" s="24">
        <v>9000000</v>
      </c>
      <c r="X8" s="26" t="s">
        <v>78</v>
      </c>
    </row>
    <row r="9" spans="1:24" s="6" customFormat="1" ht="87" x14ac:dyDescent="0.5">
      <c r="A9" s="2">
        <v>4</v>
      </c>
      <c r="B9" s="1" t="s">
        <v>79</v>
      </c>
      <c r="C9" s="2" t="s">
        <v>80</v>
      </c>
      <c r="D9" s="2">
        <v>6</v>
      </c>
      <c r="E9" s="2">
        <v>2</v>
      </c>
      <c r="F9" s="1" t="s">
        <v>81</v>
      </c>
      <c r="G9" s="2" t="s">
        <v>30</v>
      </c>
      <c r="H9" s="1" t="s">
        <v>82</v>
      </c>
      <c r="I9" s="24">
        <v>350000</v>
      </c>
      <c r="J9" s="20">
        <f>I9*15%</f>
        <v>52500</v>
      </c>
      <c r="K9" s="25">
        <f t="shared" si="0"/>
        <v>17500</v>
      </c>
      <c r="L9" s="25">
        <f t="shared" si="1"/>
        <v>17500</v>
      </c>
      <c r="M9" s="25">
        <f t="shared" si="2"/>
        <v>17500</v>
      </c>
      <c r="N9" s="1" t="s">
        <v>30</v>
      </c>
      <c r="O9" s="2" t="s">
        <v>30</v>
      </c>
      <c r="P9" s="2" t="s">
        <v>30</v>
      </c>
      <c r="Q9" s="2" t="s">
        <v>30</v>
      </c>
      <c r="R9" s="12">
        <v>25263</v>
      </c>
      <c r="S9" s="12">
        <v>25627</v>
      </c>
      <c r="T9" s="12" t="s">
        <v>83</v>
      </c>
      <c r="U9" s="12" t="s">
        <v>83</v>
      </c>
      <c r="V9" s="2" t="s">
        <v>84</v>
      </c>
      <c r="W9" s="27"/>
      <c r="X9" s="26"/>
    </row>
    <row r="10" spans="1:24" s="6" customFormat="1" ht="87" x14ac:dyDescent="0.5">
      <c r="A10" s="2">
        <v>5</v>
      </c>
      <c r="B10" s="1" t="s">
        <v>85</v>
      </c>
      <c r="C10" s="2" t="s">
        <v>80</v>
      </c>
      <c r="D10" s="2">
        <v>6</v>
      </c>
      <c r="E10" s="2">
        <v>2</v>
      </c>
      <c r="F10" s="1" t="s">
        <v>81</v>
      </c>
      <c r="G10" s="2" t="s">
        <v>30</v>
      </c>
      <c r="H10" s="1" t="s">
        <v>86</v>
      </c>
      <c r="I10" s="24">
        <v>350000</v>
      </c>
      <c r="J10" s="20">
        <f>I10*15%</f>
        <v>52500</v>
      </c>
      <c r="K10" s="25">
        <f t="shared" si="0"/>
        <v>17500</v>
      </c>
      <c r="L10" s="25">
        <f t="shared" si="1"/>
        <v>17500</v>
      </c>
      <c r="M10" s="25">
        <f t="shared" si="2"/>
        <v>17500</v>
      </c>
      <c r="N10" s="1" t="s">
        <v>30</v>
      </c>
      <c r="O10" s="2" t="s">
        <v>30</v>
      </c>
      <c r="P10" s="2" t="s">
        <v>30</v>
      </c>
      <c r="Q10" s="2" t="s">
        <v>30</v>
      </c>
      <c r="R10" s="12">
        <v>25263</v>
      </c>
      <c r="S10" s="12">
        <v>25627</v>
      </c>
      <c r="T10" s="12" t="s">
        <v>83</v>
      </c>
      <c r="U10" s="12" t="s">
        <v>83</v>
      </c>
      <c r="V10" s="2" t="s">
        <v>87</v>
      </c>
      <c r="W10" s="24"/>
      <c r="X10" s="26"/>
    </row>
    <row r="11" spans="1:24" s="9" customFormat="1" ht="261" x14ac:dyDescent="0.2">
      <c r="A11" s="2">
        <v>6</v>
      </c>
      <c r="B11" s="1" t="s">
        <v>88</v>
      </c>
      <c r="C11" s="2" t="s">
        <v>89</v>
      </c>
      <c r="D11" s="2">
        <v>4</v>
      </c>
      <c r="E11" s="2">
        <v>0</v>
      </c>
      <c r="F11" s="1" t="s">
        <v>29</v>
      </c>
      <c r="G11" s="2" t="s">
        <v>30</v>
      </c>
      <c r="H11" s="1" t="s">
        <v>90</v>
      </c>
      <c r="I11" s="24">
        <v>150000</v>
      </c>
      <c r="J11" s="28">
        <f>I11*15%</f>
        <v>22500</v>
      </c>
      <c r="K11" s="28">
        <f t="shared" si="0"/>
        <v>7500</v>
      </c>
      <c r="L11" s="28">
        <f t="shared" si="1"/>
        <v>7500</v>
      </c>
      <c r="M11" s="28">
        <f t="shared" si="2"/>
        <v>7500</v>
      </c>
      <c r="N11" s="1" t="s">
        <v>91</v>
      </c>
      <c r="O11" s="2" t="s">
        <v>30</v>
      </c>
      <c r="P11" s="2" t="s">
        <v>30</v>
      </c>
      <c r="Q11" s="2" t="s">
        <v>30</v>
      </c>
      <c r="R11" s="12">
        <v>25273</v>
      </c>
      <c r="S11" s="22">
        <v>25567</v>
      </c>
      <c r="T11" s="22">
        <v>25294</v>
      </c>
      <c r="U11" s="22">
        <v>25323</v>
      </c>
      <c r="V11" s="2" t="s">
        <v>92</v>
      </c>
      <c r="W11" s="24"/>
      <c r="X11" s="26"/>
    </row>
    <row r="12" spans="1:24" s="9" customFormat="1" ht="130.5" x14ac:dyDescent="0.2">
      <c r="A12" s="2">
        <v>7</v>
      </c>
      <c r="B12" s="1" t="s">
        <v>93</v>
      </c>
      <c r="C12" s="2" t="s">
        <v>89</v>
      </c>
      <c r="D12" s="2">
        <v>3</v>
      </c>
      <c r="E12" s="2" t="s">
        <v>30</v>
      </c>
      <c r="F12" s="1" t="s">
        <v>29</v>
      </c>
      <c r="G12" s="1" t="s">
        <v>30</v>
      </c>
      <c r="H12" s="1" t="s">
        <v>94</v>
      </c>
      <c r="I12" s="24">
        <v>127500</v>
      </c>
      <c r="J12" s="29">
        <f>I12*15%</f>
        <v>19125</v>
      </c>
      <c r="K12" s="29">
        <f t="shared" si="0"/>
        <v>6375</v>
      </c>
      <c r="L12" s="29">
        <f t="shared" si="1"/>
        <v>6375</v>
      </c>
      <c r="M12" s="29">
        <f t="shared" si="2"/>
        <v>6375</v>
      </c>
      <c r="N12" s="1" t="s">
        <v>95</v>
      </c>
      <c r="O12" s="2" t="s">
        <v>30</v>
      </c>
      <c r="P12" s="2" t="s">
        <v>30</v>
      </c>
      <c r="Q12" s="2" t="s">
        <v>30</v>
      </c>
      <c r="R12" s="12">
        <v>25286</v>
      </c>
      <c r="S12" s="12">
        <v>25568</v>
      </c>
      <c r="T12" s="22">
        <v>25294</v>
      </c>
      <c r="U12" s="22">
        <v>25476</v>
      </c>
      <c r="V12" s="2" t="s">
        <v>96</v>
      </c>
      <c r="W12" s="24"/>
      <c r="X12" s="26"/>
    </row>
    <row r="13" spans="1:24" s="9" customFormat="1" ht="108.75" x14ac:dyDescent="0.2">
      <c r="A13" s="2">
        <v>8</v>
      </c>
      <c r="B13" s="1" t="s">
        <v>97</v>
      </c>
      <c r="C13" s="2" t="s">
        <v>70</v>
      </c>
      <c r="D13" s="2">
        <v>6</v>
      </c>
      <c r="E13" s="2">
        <v>4</v>
      </c>
      <c r="F13" s="1" t="s">
        <v>29</v>
      </c>
      <c r="G13" s="2" t="s">
        <v>30</v>
      </c>
      <c r="H13" s="1" t="s">
        <v>98</v>
      </c>
      <c r="I13" s="24">
        <v>3900000</v>
      </c>
      <c r="J13" s="30">
        <f>I13*15%</f>
        <v>585000</v>
      </c>
      <c r="K13" s="30">
        <f t="shared" si="0"/>
        <v>195000</v>
      </c>
      <c r="L13" s="30">
        <f t="shared" si="1"/>
        <v>195000</v>
      </c>
      <c r="M13" s="30">
        <f t="shared" si="2"/>
        <v>195000</v>
      </c>
      <c r="N13" s="1" t="s">
        <v>99</v>
      </c>
      <c r="O13" s="2" t="s">
        <v>30</v>
      </c>
      <c r="P13" s="2" t="s">
        <v>30</v>
      </c>
      <c r="Q13" s="2" t="s">
        <v>30</v>
      </c>
      <c r="R13" s="12">
        <v>25285</v>
      </c>
      <c r="S13" s="12">
        <v>25568</v>
      </c>
      <c r="T13" s="12">
        <v>25355</v>
      </c>
      <c r="U13" s="22">
        <v>25537</v>
      </c>
      <c r="V13" s="2" t="s">
        <v>100</v>
      </c>
      <c r="W13" s="24"/>
      <c r="X13" s="26"/>
    </row>
  </sheetData>
  <mergeCells count="29">
    <mergeCell ref="T3:U4"/>
    <mergeCell ref="V3:V5"/>
    <mergeCell ref="W3:W5"/>
    <mergeCell ref="M4:M5"/>
    <mergeCell ref="N4:N5"/>
    <mergeCell ref="N3:O3"/>
    <mergeCell ref="P3:Q3"/>
    <mergeCell ref="R3:S4"/>
    <mergeCell ref="G4:G5"/>
    <mergeCell ref="H4:H5"/>
    <mergeCell ref="J4:J5"/>
    <mergeCell ref="K4:K5"/>
    <mergeCell ref="L4:L5"/>
    <mergeCell ref="O4:O5"/>
    <mergeCell ref="P4:P5"/>
    <mergeCell ref="Q4:Q5"/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  <mergeCell ref="X3:X5"/>
    <mergeCell ref="D4:D5"/>
    <mergeCell ref="E4:E5"/>
  </mergeCells>
  <pageMargins left="0.23622047244094491" right="0" top="0.19685039370078741" bottom="0" header="0.19685039370078741" footer="0"/>
  <pageSetup paperSize="9" scale="56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E2B0-3EA1-45F3-87D9-EC15CE6DA317}">
  <dimension ref="A1:O56"/>
  <sheetViews>
    <sheetView zoomScaleNormal="100" workbookViewId="0">
      <selection activeCell="C6" sqref="C6"/>
    </sheetView>
  </sheetViews>
  <sheetFormatPr defaultColWidth="9" defaultRowHeight="24" x14ac:dyDescent="0.55000000000000004"/>
  <cols>
    <col min="1" max="1" width="5.5" style="46" customWidth="1"/>
    <col min="2" max="2" width="22.75" style="50" customWidth="1"/>
    <col min="3" max="3" width="21.875" style="16" customWidth="1"/>
    <col min="4" max="4" width="4" style="18" customWidth="1"/>
    <col min="5" max="5" width="3.625" style="18" customWidth="1"/>
    <col min="6" max="6" width="3.75" style="18" customWidth="1"/>
    <col min="7" max="7" width="3.875" style="18" customWidth="1"/>
    <col min="8" max="8" width="4" style="18" customWidth="1"/>
    <col min="9" max="9" width="3.375" style="18" customWidth="1"/>
    <col min="10" max="10" width="23" style="16" customWidth="1"/>
    <col min="11" max="11" width="17.125" style="16" customWidth="1"/>
    <col min="12" max="12" width="10" style="16" customWidth="1"/>
    <col min="13" max="13" width="3.25" style="16" customWidth="1"/>
    <col min="14" max="14" width="4" style="16" customWidth="1"/>
    <col min="15" max="15" width="3.875" style="16" customWidth="1"/>
    <col min="16" max="16384" width="9" style="16"/>
  </cols>
  <sheetData>
    <row r="1" spans="1:15" s="35" customFormat="1" x14ac:dyDescent="0.55000000000000004">
      <c r="A1" s="144" t="s">
        <v>101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55000000000000004">
      <c r="A2" s="144" t="s">
        <v>102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</row>
    <row r="3" spans="1:15" ht="24" customHeight="1" x14ac:dyDescent="0.55000000000000004">
      <c r="A3" s="145" t="s">
        <v>2</v>
      </c>
      <c r="B3" s="145" t="s">
        <v>103</v>
      </c>
      <c r="C3" s="146" t="s">
        <v>104</v>
      </c>
      <c r="D3" s="146" t="s">
        <v>105</v>
      </c>
      <c r="E3" s="146"/>
      <c r="F3" s="146"/>
      <c r="G3" s="146"/>
      <c r="H3" s="146"/>
      <c r="I3" s="146"/>
      <c r="J3" s="146" t="s">
        <v>106</v>
      </c>
      <c r="K3" s="146" t="s">
        <v>107</v>
      </c>
      <c r="L3" s="146" t="s">
        <v>108</v>
      </c>
      <c r="M3" s="143" t="s">
        <v>109</v>
      </c>
      <c r="N3" s="143" t="s">
        <v>110</v>
      </c>
      <c r="O3" s="143" t="s">
        <v>16</v>
      </c>
    </row>
    <row r="4" spans="1:15" ht="125.25" customHeight="1" x14ac:dyDescent="0.55000000000000004">
      <c r="A4" s="146"/>
      <c r="B4" s="145"/>
      <c r="C4" s="146"/>
      <c r="D4" s="51" t="s">
        <v>111</v>
      </c>
      <c r="E4" s="51" t="s">
        <v>112</v>
      </c>
      <c r="F4" s="51" t="s">
        <v>113</v>
      </c>
      <c r="G4" s="51" t="s">
        <v>114</v>
      </c>
      <c r="H4" s="51" t="s">
        <v>115</v>
      </c>
      <c r="I4" s="51" t="s">
        <v>116</v>
      </c>
      <c r="J4" s="146"/>
      <c r="K4" s="146"/>
      <c r="L4" s="146"/>
      <c r="M4" s="143"/>
      <c r="N4" s="143"/>
      <c r="O4" s="143"/>
    </row>
    <row r="5" spans="1:15" ht="147" customHeight="1" x14ac:dyDescent="0.55000000000000004">
      <c r="A5" s="38">
        <v>1</v>
      </c>
      <c r="B5" s="39" t="s">
        <v>117</v>
      </c>
      <c r="C5" s="39" t="s">
        <v>118</v>
      </c>
      <c r="D5" s="40"/>
      <c r="E5" s="40"/>
      <c r="F5" s="40"/>
      <c r="G5" s="44" t="s">
        <v>119</v>
      </c>
      <c r="H5" s="40"/>
      <c r="I5" s="40"/>
      <c r="J5" s="38" t="s">
        <v>120</v>
      </c>
      <c r="K5" s="39" t="s">
        <v>121</v>
      </c>
      <c r="L5" s="41">
        <v>25288</v>
      </c>
      <c r="M5" s="42"/>
      <c r="N5" s="42"/>
      <c r="O5" s="42"/>
    </row>
    <row r="6" spans="1:15" ht="141.75" customHeight="1" x14ac:dyDescent="0.55000000000000004">
      <c r="A6" s="38">
        <v>2</v>
      </c>
      <c r="B6" s="39" t="s">
        <v>117</v>
      </c>
      <c r="C6" s="39" t="s">
        <v>122</v>
      </c>
      <c r="D6" s="40"/>
      <c r="E6" s="40"/>
      <c r="F6" s="40"/>
      <c r="G6" s="44" t="s">
        <v>119</v>
      </c>
      <c r="H6" s="40"/>
      <c r="I6" s="40"/>
      <c r="J6" s="38" t="s">
        <v>120</v>
      </c>
      <c r="K6" s="39" t="s">
        <v>121</v>
      </c>
      <c r="L6" s="41">
        <v>25289</v>
      </c>
      <c r="M6" s="42"/>
      <c r="N6" s="42"/>
      <c r="O6" s="42"/>
    </row>
    <row r="7" spans="1:15" s="43" customFormat="1" ht="96" x14ac:dyDescent="0.55000000000000004">
      <c r="A7" s="38">
        <v>3</v>
      </c>
      <c r="B7" s="39" t="s">
        <v>123</v>
      </c>
      <c r="C7" s="39" t="s">
        <v>124</v>
      </c>
      <c r="D7" s="40"/>
      <c r="E7" s="40"/>
      <c r="F7" s="40"/>
      <c r="G7" s="44" t="s">
        <v>119</v>
      </c>
      <c r="H7" s="40"/>
      <c r="I7" s="40"/>
      <c r="J7" s="38" t="s">
        <v>70</v>
      </c>
      <c r="K7" s="39" t="s">
        <v>29</v>
      </c>
      <c r="L7" s="41">
        <v>244413</v>
      </c>
      <c r="M7" s="42"/>
      <c r="N7" s="42"/>
      <c r="O7" s="42"/>
    </row>
    <row r="8" spans="1:15" ht="120" customHeight="1" x14ac:dyDescent="0.55000000000000004">
      <c r="A8" s="38">
        <v>4</v>
      </c>
      <c r="B8" s="39" t="s">
        <v>125</v>
      </c>
      <c r="C8" s="39" t="s">
        <v>126</v>
      </c>
      <c r="D8" s="40"/>
      <c r="E8" s="44"/>
      <c r="F8" s="40"/>
      <c r="G8" s="44" t="s">
        <v>119</v>
      </c>
      <c r="H8" s="40"/>
      <c r="I8" s="40"/>
      <c r="J8" s="38" t="s">
        <v>127</v>
      </c>
      <c r="K8" s="39" t="s">
        <v>128</v>
      </c>
      <c r="L8" s="41">
        <v>25264</v>
      </c>
      <c r="M8" s="42"/>
      <c r="N8" s="42"/>
      <c r="O8" s="42"/>
    </row>
    <row r="9" spans="1:15" s="43" customFormat="1" ht="96" x14ac:dyDescent="0.55000000000000004">
      <c r="A9" s="38">
        <v>5</v>
      </c>
      <c r="B9" s="39" t="s">
        <v>123</v>
      </c>
      <c r="C9" s="39" t="s">
        <v>30</v>
      </c>
      <c r="D9" s="40"/>
      <c r="E9" s="44" t="s">
        <v>119</v>
      </c>
      <c r="F9" s="40"/>
      <c r="G9" s="44"/>
      <c r="H9" s="40"/>
      <c r="I9" s="40"/>
      <c r="J9" s="38" t="s">
        <v>70</v>
      </c>
      <c r="K9" s="39" t="s">
        <v>29</v>
      </c>
      <c r="L9" s="41">
        <v>244413</v>
      </c>
      <c r="M9" s="42"/>
      <c r="N9" s="42"/>
      <c r="O9" s="42"/>
    </row>
    <row r="10" spans="1:15" s="43" customFormat="1" ht="96" x14ac:dyDescent="0.55000000000000004">
      <c r="A10" s="38">
        <v>6</v>
      </c>
      <c r="B10" s="39" t="s">
        <v>129</v>
      </c>
      <c r="C10" s="39" t="s">
        <v>130</v>
      </c>
      <c r="D10" s="40"/>
      <c r="E10" s="44" t="s">
        <v>119</v>
      </c>
      <c r="F10" s="40"/>
      <c r="G10" s="44"/>
      <c r="H10" s="40"/>
      <c r="I10" s="40"/>
      <c r="J10" s="38" t="s">
        <v>131</v>
      </c>
      <c r="K10" s="39" t="s">
        <v>29</v>
      </c>
      <c r="L10" s="41">
        <v>244412</v>
      </c>
      <c r="M10" s="42"/>
      <c r="N10" s="42"/>
      <c r="O10" s="42"/>
    </row>
    <row r="11" spans="1:15" s="43" customFormat="1" ht="96" x14ac:dyDescent="0.55000000000000004">
      <c r="A11" s="38">
        <v>7</v>
      </c>
      <c r="B11" s="39" t="s">
        <v>132</v>
      </c>
      <c r="C11" s="39" t="s">
        <v>133</v>
      </c>
      <c r="D11" s="40"/>
      <c r="E11" s="44" t="s">
        <v>119</v>
      </c>
      <c r="F11" s="40"/>
      <c r="G11" s="44"/>
      <c r="H11" s="40"/>
      <c r="I11" s="40"/>
      <c r="J11" s="38" t="s">
        <v>131</v>
      </c>
      <c r="K11" s="39" t="s">
        <v>29</v>
      </c>
      <c r="L11" s="41">
        <v>244414</v>
      </c>
      <c r="M11" s="42"/>
      <c r="N11" s="42"/>
      <c r="O11" s="42"/>
    </row>
    <row r="12" spans="1:15" ht="219" customHeight="1" x14ac:dyDescent="0.55000000000000004">
      <c r="A12" s="38">
        <v>8</v>
      </c>
      <c r="B12" s="39" t="s">
        <v>134</v>
      </c>
      <c r="C12" s="39" t="s">
        <v>135</v>
      </c>
      <c r="D12" s="44"/>
      <c r="E12" s="44" t="s">
        <v>119</v>
      </c>
      <c r="F12" s="40"/>
      <c r="G12" s="44"/>
      <c r="H12" s="40"/>
      <c r="I12" s="40"/>
      <c r="J12" s="38" t="s">
        <v>131</v>
      </c>
      <c r="K12" s="39" t="s">
        <v>29</v>
      </c>
      <c r="L12" s="41">
        <v>244413</v>
      </c>
      <c r="M12" s="42"/>
      <c r="N12" s="42"/>
      <c r="O12" s="42"/>
    </row>
    <row r="13" spans="1:15" ht="51.75" customHeight="1" x14ac:dyDescent="0.55000000000000004">
      <c r="A13" s="38">
        <v>9</v>
      </c>
      <c r="B13" s="39" t="s">
        <v>136</v>
      </c>
      <c r="C13" s="39" t="s">
        <v>137</v>
      </c>
      <c r="D13" s="44"/>
      <c r="E13" s="44"/>
      <c r="F13" s="40"/>
      <c r="G13" s="44" t="s">
        <v>119</v>
      </c>
      <c r="H13" s="40"/>
      <c r="I13" s="40"/>
      <c r="J13" s="38" t="s">
        <v>131</v>
      </c>
      <c r="K13" s="39" t="s">
        <v>29</v>
      </c>
      <c r="L13" s="41">
        <v>244418</v>
      </c>
      <c r="M13" s="42"/>
      <c r="N13" s="42"/>
      <c r="O13" s="42"/>
    </row>
    <row r="14" spans="1:15" ht="115.5" customHeight="1" x14ac:dyDescent="0.55000000000000004">
      <c r="A14" s="38">
        <v>10</v>
      </c>
      <c r="B14" s="39" t="s">
        <v>138</v>
      </c>
      <c r="C14" s="39" t="s">
        <v>139</v>
      </c>
      <c r="D14" s="44"/>
      <c r="E14" s="44"/>
      <c r="F14" s="40"/>
      <c r="G14" s="44" t="s">
        <v>119</v>
      </c>
      <c r="H14" s="40"/>
      <c r="I14" s="40"/>
      <c r="J14" s="38" t="s">
        <v>131</v>
      </c>
      <c r="K14" s="39" t="s">
        <v>29</v>
      </c>
      <c r="L14" s="41">
        <v>244435</v>
      </c>
      <c r="M14" s="42"/>
      <c r="N14" s="42"/>
      <c r="O14" s="42"/>
    </row>
    <row r="15" spans="1:15" ht="117" customHeight="1" x14ac:dyDescent="0.55000000000000004">
      <c r="A15" s="38">
        <v>11</v>
      </c>
      <c r="B15" s="39" t="s">
        <v>138</v>
      </c>
      <c r="C15" s="39" t="s">
        <v>139</v>
      </c>
      <c r="D15" s="44"/>
      <c r="E15" s="44"/>
      <c r="F15" s="40"/>
      <c r="G15" s="44" t="s">
        <v>119</v>
      </c>
      <c r="H15" s="40"/>
      <c r="I15" s="40"/>
      <c r="J15" s="38" t="s">
        <v>140</v>
      </c>
      <c r="K15" s="39" t="s">
        <v>29</v>
      </c>
      <c r="L15" s="41">
        <v>244435</v>
      </c>
      <c r="M15" s="42"/>
      <c r="N15" s="42"/>
      <c r="O15" s="42"/>
    </row>
    <row r="16" spans="1:15" ht="120.75" customHeight="1" x14ac:dyDescent="0.55000000000000004">
      <c r="A16" s="38">
        <v>12</v>
      </c>
      <c r="B16" s="39" t="s">
        <v>138</v>
      </c>
      <c r="C16" s="39" t="s">
        <v>139</v>
      </c>
      <c r="D16" s="44"/>
      <c r="E16" s="44"/>
      <c r="F16" s="40"/>
      <c r="G16" s="44" t="s">
        <v>119</v>
      </c>
      <c r="H16" s="40"/>
      <c r="I16" s="40"/>
      <c r="J16" s="38" t="s">
        <v>141</v>
      </c>
      <c r="K16" s="39" t="s">
        <v>29</v>
      </c>
      <c r="L16" s="41">
        <v>244436</v>
      </c>
      <c r="M16" s="42"/>
      <c r="N16" s="42"/>
      <c r="O16" s="42"/>
    </row>
    <row r="17" spans="1:15" ht="139.5" customHeight="1" x14ac:dyDescent="0.55000000000000004">
      <c r="A17" s="38">
        <v>13</v>
      </c>
      <c r="B17" s="39" t="s">
        <v>142</v>
      </c>
      <c r="C17" s="39" t="s">
        <v>143</v>
      </c>
      <c r="D17" s="44" t="s">
        <v>119</v>
      </c>
      <c r="E17" s="44"/>
      <c r="F17" s="40"/>
      <c r="G17" s="44"/>
      <c r="H17" s="40"/>
      <c r="I17" s="40"/>
      <c r="J17" s="38" t="s">
        <v>27</v>
      </c>
      <c r="K17" s="39" t="s">
        <v>29</v>
      </c>
      <c r="L17" s="41">
        <v>244421</v>
      </c>
      <c r="M17" s="42"/>
      <c r="N17" s="42"/>
      <c r="O17" s="42"/>
    </row>
    <row r="18" spans="1:15" ht="70.5" customHeight="1" x14ac:dyDescent="0.55000000000000004">
      <c r="A18" s="38">
        <v>14</v>
      </c>
      <c r="B18" s="39" t="s">
        <v>144</v>
      </c>
      <c r="C18" s="39" t="s">
        <v>145</v>
      </c>
      <c r="D18" s="44" t="s">
        <v>119</v>
      </c>
      <c r="E18" s="44"/>
      <c r="F18" s="40"/>
      <c r="G18" s="44"/>
      <c r="H18" s="40"/>
      <c r="I18" s="40"/>
      <c r="J18" s="38" t="s">
        <v>146</v>
      </c>
      <c r="K18" s="39" t="s">
        <v>29</v>
      </c>
      <c r="L18" s="41">
        <v>244438</v>
      </c>
      <c r="M18" s="42"/>
      <c r="N18" s="42"/>
      <c r="O18" s="42"/>
    </row>
    <row r="19" spans="1:15" ht="51" customHeight="1" x14ac:dyDescent="0.55000000000000004">
      <c r="A19" s="38">
        <v>15</v>
      </c>
      <c r="B19" s="39" t="s">
        <v>117</v>
      </c>
      <c r="C19" s="39" t="s">
        <v>147</v>
      </c>
      <c r="D19" s="44"/>
      <c r="E19" s="44"/>
      <c r="F19" s="40"/>
      <c r="G19" s="44" t="s">
        <v>119</v>
      </c>
      <c r="H19" s="40"/>
      <c r="I19" s="40"/>
      <c r="J19" s="38" t="s">
        <v>140</v>
      </c>
      <c r="K19" s="39" t="s">
        <v>29</v>
      </c>
      <c r="L19" s="41">
        <v>244429</v>
      </c>
      <c r="M19" s="42"/>
      <c r="N19" s="42"/>
      <c r="O19" s="42"/>
    </row>
    <row r="20" spans="1:15" ht="69.75" customHeight="1" x14ac:dyDescent="0.55000000000000004">
      <c r="A20" s="38">
        <v>16</v>
      </c>
      <c r="B20" s="39" t="s">
        <v>148</v>
      </c>
      <c r="C20" s="39" t="s">
        <v>124</v>
      </c>
      <c r="D20" s="44"/>
      <c r="E20" s="44"/>
      <c r="F20" s="40"/>
      <c r="G20" s="44" t="s">
        <v>119</v>
      </c>
      <c r="H20" s="40"/>
      <c r="I20" s="40"/>
      <c r="J20" s="38" t="s">
        <v>131</v>
      </c>
      <c r="K20" s="39" t="s">
        <v>29</v>
      </c>
      <c r="L20" s="41">
        <v>244438</v>
      </c>
      <c r="M20" s="42"/>
      <c r="N20" s="42"/>
      <c r="O20" s="42"/>
    </row>
    <row r="21" spans="1:15" ht="69.75" customHeight="1" x14ac:dyDescent="0.55000000000000004">
      <c r="A21" s="38">
        <v>17</v>
      </c>
      <c r="B21" s="39" t="s">
        <v>148</v>
      </c>
      <c r="C21" s="39" t="s">
        <v>124</v>
      </c>
      <c r="D21" s="44"/>
      <c r="E21" s="44"/>
      <c r="F21" s="40"/>
      <c r="G21" s="44" t="s">
        <v>119</v>
      </c>
      <c r="H21" s="40"/>
      <c r="I21" s="40"/>
      <c r="J21" s="38" t="s">
        <v>70</v>
      </c>
      <c r="K21" s="39" t="s">
        <v>29</v>
      </c>
      <c r="L21" s="41">
        <v>244438</v>
      </c>
      <c r="M21" s="42"/>
      <c r="N21" s="42"/>
      <c r="O21" s="42"/>
    </row>
    <row r="22" spans="1:15" ht="244.5" customHeight="1" x14ac:dyDescent="0.55000000000000004">
      <c r="A22" s="38">
        <v>18</v>
      </c>
      <c r="B22" s="39" t="s">
        <v>149</v>
      </c>
      <c r="C22" s="39" t="s">
        <v>150</v>
      </c>
      <c r="D22" s="44" t="s">
        <v>119</v>
      </c>
      <c r="E22" s="44"/>
      <c r="F22" s="40"/>
      <c r="G22" s="44"/>
      <c r="H22" s="40"/>
      <c r="I22" s="40"/>
      <c r="J22" s="38" t="s">
        <v>141</v>
      </c>
      <c r="K22" s="39" t="s">
        <v>29</v>
      </c>
      <c r="L22" s="41">
        <v>244425</v>
      </c>
      <c r="M22" s="42"/>
      <c r="N22" s="42"/>
      <c r="O22" s="42"/>
    </row>
    <row r="23" spans="1:15" ht="220.5" customHeight="1" x14ac:dyDescent="0.55000000000000004">
      <c r="A23" s="38">
        <v>19</v>
      </c>
      <c r="B23" s="39" t="s">
        <v>151</v>
      </c>
      <c r="C23" s="39" t="s">
        <v>150</v>
      </c>
      <c r="D23" s="44" t="s">
        <v>119</v>
      </c>
      <c r="E23" s="44"/>
      <c r="F23" s="40"/>
      <c r="G23" s="44"/>
      <c r="H23" s="40"/>
      <c r="I23" s="40"/>
      <c r="J23" s="38" t="s">
        <v>141</v>
      </c>
      <c r="K23" s="39" t="s">
        <v>29</v>
      </c>
      <c r="L23" s="41">
        <v>244432</v>
      </c>
      <c r="M23" s="42"/>
      <c r="N23" s="42"/>
      <c r="O23" s="42"/>
    </row>
    <row r="24" spans="1:15" ht="195.75" customHeight="1" x14ac:dyDescent="0.55000000000000004">
      <c r="A24" s="38">
        <v>20</v>
      </c>
      <c r="B24" s="39" t="s">
        <v>152</v>
      </c>
      <c r="C24" s="39" t="s">
        <v>150</v>
      </c>
      <c r="D24" s="44" t="s">
        <v>119</v>
      </c>
      <c r="E24" s="44"/>
      <c r="F24" s="40"/>
      <c r="G24" s="44"/>
      <c r="H24" s="40"/>
      <c r="I24" s="40"/>
      <c r="J24" s="38" t="s">
        <v>141</v>
      </c>
      <c r="K24" s="39" t="s">
        <v>29</v>
      </c>
      <c r="L24" s="41">
        <v>244439</v>
      </c>
      <c r="M24" s="42"/>
      <c r="N24" s="42"/>
      <c r="O24" s="42"/>
    </row>
    <row r="25" spans="1:15" ht="104.25" customHeight="1" x14ac:dyDescent="0.55000000000000004">
      <c r="A25" s="38">
        <v>21</v>
      </c>
      <c r="B25" s="39" t="s">
        <v>153</v>
      </c>
      <c r="C25" s="39" t="s">
        <v>154</v>
      </c>
      <c r="D25" s="44"/>
      <c r="E25" s="44"/>
      <c r="F25" s="40"/>
      <c r="G25" s="44"/>
      <c r="H25" s="44" t="s">
        <v>119</v>
      </c>
      <c r="I25" s="40"/>
      <c r="J25" s="39" t="s">
        <v>155</v>
      </c>
      <c r="K25" s="39" t="s">
        <v>29</v>
      </c>
      <c r="L25" s="41">
        <v>244432</v>
      </c>
      <c r="M25" s="42"/>
      <c r="N25" s="42"/>
      <c r="O25" s="42"/>
    </row>
    <row r="26" spans="1:15" ht="97.5" customHeight="1" x14ac:dyDescent="0.55000000000000004">
      <c r="A26" s="38">
        <v>22</v>
      </c>
      <c r="B26" s="39" t="s">
        <v>156</v>
      </c>
      <c r="C26" s="39" t="s">
        <v>157</v>
      </c>
      <c r="D26" s="44"/>
      <c r="E26" s="40"/>
      <c r="F26" s="40"/>
      <c r="G26" s="44" t="s">
        <v>119</v>
      </c>
      <c r="H26" s="40"/>
      <c r="I26" s="40"/>
      <c r="J26" s="38" t="s">
        <v>158</v>
      </c>
      <c r="K26" s="39" t="s">
        <v>159</v>
      </c>
      <c r="L26" s="41">
        <v>25278</v>
      </c>
      <c r="M26" s="42"/>
      <c r="N26" s="42"/>
      <c r="O26" s="42"/>
    </row>
    <row r="27" spans="1:15" ht="117.75" customHeight="1" x14ac:dyDescent="0.55000000000000004">
      <c r="A27" s="38">
        <v>23</v>
      </c>
      <c r="B27" s="39" t="s">
        <v>160</v>
      </c>
      <c r="C27" s="39" t="s">
        <v>126</v>
      </c>
      <c r="D27" s="44"/>
      <c r="E27" s="40"/>
      <c r="F27" s="40"/>
      <c r="G27" s="44" t="s">
        <v>119</v>
      </c>
      <c r="H27" s="40"/>
      <c r="I27" s="40"/>
      <c r="J27" s="38" t="s">
        <v>127</v>
      </c>
      <c r="K27" s="39" t="s">
        <v>159</v>
      </c>
      <c r="L27" s="41">
        <v>25274</v>
      </c>
      <c r="M27" s="42"/>
      <c r="N27" s="42"/>
      <c r="O27" s="42"/>
    </row>
    <row r="28" spans="1:15" ht="123.75" customHeight="1" x14ac:dyDescent="0.55000000000000004">
      <c r="A28" s="38">
        <v>24</v>
      </c>
      <c r="B28" s="39" t="s">
        <v>161</v>
      </c>
      <c r="C28" s="39" t="s">
        <v>162</v>
      </c>
      <c r="D28" s="44"/>
      <c r="E28" s="40"/>
      <c r="F28" s="40"/>
      <c r="G28" s="44" t="s">
        <v>119</v>
      </c>
      <c r="H28" s="40"/>
      <c r="I28" s="40"/>
      <c r="J28" s="38" t="s">
        <v>127</v>
      </c>
      <c r="K28" s="39" t="s">
        <v>159</v>
      </c>
      <c r="L28" s="41">
        <v>25288</v>
      </c>
      <c r="M28" s="42"/>
      <c r="N28" s="42"/>
      <c r="O28" s="42"/>
    </row>
    <row r="29" spans="1:15" ht="62.25" customHeight="1" x14ac:dyDescent="0.55000000000000004">
      <c r="A29" s="38">
        <v>25</v>
      </c>
      <c r="B29" s="39" t="s">
        <v>117</v>
      </c>
      <c r="C29" s="39" t="s">
        <v>163</v>
      </c>
      <c r="D29" s="44"/>
      <c r="E29" s="40"/>
      <c r="F29" s="40"/>
      <c r="G29" s="44" t="s">
        <v>119</v>
      </c>
      <c r="H29" s="40"/>
      <c r="I29" s="40"/>
      <c r="J29" s="38" t="s">
        <v>164</v>
      </c>
      <c r="K29" s="39" t="s">
        <v>35</v>
      </c>
      <c r="L29" s="41">
        <v>25281</v>
      </c>
      <c r="M29" s="42"/>
      <c r="N29" s="42"/>
      <c r="O29" s="42"/>
    </row>
    <row r="30" spans="1:15" ht="178.5" customHeight="1" x14ac:dyDescent="0.55000000000000004">
      <c r="A30" s="38">
        <v>26</v>
      </c>
      <c r="B30" s="39" t="s">
        <v>117</v>
      </c>
      <c r="C30" s="39" t="s">
        <v>165</v>
      </c>
      <c r="D30" s="44"/>
      <c r="E30" s="40"/>
      <c r="F30" s="40"/>
      <c r="G30" s="44" t="s">
        <v>119</v>
      </c>
      <c r="H30" s="40"/>
      <c r="I30" s="40"/>
      <c r="J30" s="38" t="s">
        <v>166</v>
      </c>
      <c r="K30" s="39" t="s">
        <v>35</v>
      </c>
      <c r="L30" s="52" t="s">
        <v>167</v>
      </c>
      <c r="M30" s="42"/>
      <c r="N30" s="42"/>
      <c r="O30" s="42"/>
    </row>
    <row r="31" spans="1:15" ht="179.25" customHeight="1" x14ac:dyDescent="0.55000000000000004">
      <c r="A31" s="38">
        <v>27</v>
      </c>
      <c r="B31" s="39" t="s">
        <v>168</v>
      </c>
      <c r="C31" s="39" t="s">
        <v>169</v>
      </c>
      <c r="D31" s="44" t="s">
        <v>119</v>
      </c>
      <c r="E31" s="44"/>
      <c r="F31" s="40"/>
      <c r="G31" s="44"/>
      <c r="H31" s="40"/>
      <c r="I31" s="40"/>
      <c r="J31" s="39" t="s">
        <v>170</v>
      </c>
      <c r="K31" s="53" t="s">
        <v>171</v>
      </c>
      <c r="L31" s="41">
        <v>25272</v>
      </c>
      <c r="M31" s="42"/>
      <c r="N31" s="38">
        <v>50</v>
      </c>
      <c r="O31" s="42"/>
    </row>
    <row r="32" spans="1:15" ht="195" customHeight="1" x14ac:dyDescent="0.55000000000000004">
      <c r="A32" s="38">
        <v>28</v>
      </c>
      <c r="B32" s="39" t="s">
        <v>172</v>
      </c>
      <c r="C32" s="39" t="s">
        <v>173</v>
      </c>
      <c r="D32" s="44" t="s">
        <v>119</v>
      </c>
      <c r="E32" s="44"/>
      <c r="F32" s="40"/>
      <c r="G32" s="44"/>
      <c r="H32" s="40"/>
      <c r="I32" s="40"/>
      <c r="J32" s="39" t="s">
        <v>174</v>
      </c>
      <c r="K32" s="53" t="s">
        <v>171</v>
      </c>
      <c r="L32" s="41">
        <v>25275</v>
      </c>
      <c r="M32" s="42"/>
      <c r="N32" s="38">
        <v>50</v>
      </c>
      <c r="O32" s="42"/>
    </row>
    <row r="33" spans="1:15" ht="195" customHeight="1" x14ac:dyDescent="0.55000000000000004">
      <c r="A33" s="38">
        <v>29</v>
      </c>
      <c r="B33" s="39" t="s">
        <v>175</v>
      </c>
      <c r="C33" s="39" t="s">
        <v>176</v>
      </c>
      <c r="D33" s="44"/>
      <c r="E33" s="44" t="s">
        <v>119</v>
      </c>
      <c r="F33" s="40"/>
      <c r="G33" s="44"/>
      <c r="H33" s="40"/>
      <c r="I33" s="40"/>
      <c r="J33" s="39" t="s">
        <v>177</v>
      </c>
      <c r="K33" s="53" t="s">
        <v>171</v>
      </c>
      <c r="L33" s="41">
        <v>25289</v>
      </c>
      <c r="M33" s="42"/>
      <c r="N33" s="38">
        <v>150</v>
      </c>
      <c r="O33" s="42"/>
    </row>
    <row r="34" spans="1:15" ht="98.25" customHeight="1" x14ac:dyDescent="0.55000000000000004">
      <c r="A34" s="38">
        <v>30</v>
      </c>
      <c r="B34" s="39" t="s">
        <v>178</v>
      </c>
      <c r="C34" s="39" t="s">
        <v>179</v>
      </c>
      <c r="D34" s="44" t="s">
        <v>119</v>
      </c>
      <c r="E34" s="44"/>
      <c r="F34" s="40"/>
      <c r="G34" s="44"/>
      <c r="H34" s="40"/>
      <c r="I34" s="40"/>
      <c r="J34" s="38" t="s">
        <v>120</v>
      </c>
      <c r="K34" s="39" t="s">
        <v>121</v>
      </c>
      <c r="L34" s="41">
        <v>25282</v>
      </c>
      <c r="M34" s="42"/>
      <c r="N34" s="42"/>
      <c r="O34" s="42"/>
    </row>
    <row r="35" spans="1:15" ht="156" customHeight="1" x14ac:dyDescent="0.55000000000000004">
      <c r="A35" s="38">
        <v>31</v>
      </c>
      <c r="B35" s="39" t="s">
        <v>180</v>
      </c>
      <c r="C35" s="39" t="s">
        <v>181</v>
      </c>
      <c r="D35" s="40"/>
      <c r="E35" s="44" t="s">
        <v>119</v>
      </c>
      <c r="F35" s="40"/>
      <c r="G35" s="44"/>
      <c r="H35" s="40"/>
      <c r="I35" s="40"/>
      <c r="J35" s="38" t="s">
        <v>182</v>
      </c>
      <c r="K35" s="39" t="s">
        <v>183</v>
      </c>
      <c r="L35" s="41">
        <v>25268</v>
      </c>
      <c r="M35" s="42"/>
      <c r="N35" s="42"/>
      <c r="O35" s="42"/>
    </row>
    <row r="36" spans="1:15" ht="72" x14ac:dyDescent="0.55000000000000004">
      <c r="A36" s="38">
        <v>32</v>
      </c>
      <c r="B36" s="39" t="s">
        <v>184</v>
      </c>
      <c r="C36" s="39" t="s">
        <v>185</v>
      </c>
      <c r="D36" s="44"/>
      <c r="E36" s="40"/>
      <c r="F36" s="40"/>
      <c r="G36" s="44" t="s">
        <v>119</v>
      </c>
      <c r="H36" s="40"/>
      <c r="I36" s="40"/>
      <c r="J36" s="38" t="s">
        <v>120</v>
      </c>
      <c r="K36" s="39" t="s">
        <v>183</v>
      </c>
      <c r="L36" s="41">
        <v>25287</v>
      </c>
      <c r="M36" s="42"/>
      <c r="N36" s="42"/>
      <c r="O36" s="42"/>
    </row>
    <row r="37" spans="1:15" ht="144.75" customHeight="1" x14ac:dyDescent="0.55000000000000004">
      <c r="A37" s="38">
        <v>33</v>
      </c>
      <c r="B37" s="54" t="s">
        <v>186</v>
      </c>
      <c r="C37" s="54" t="s">
        <v>187</v>
      </c>
      <c r="D37" s="55"/>
      <c r="E37" s="55"/>
      <c r="F37" s="55"/>
      <c r="G37" s="45"/>
      <c r="H37" s="45" t="s">
        <v>119</v>
      </c>
      <c r="I37" s="55"/>
      <c r="J37" s="56" t="s">
        <v>120</v>
      </c>
      <c r="K37" s="54" t="s">
        <v>183</v>
      </c>
      <c r="L37" s="57">
        <v>25286</v>
      </c>
      <c r="M37" s="58"/>
      <c r="N37" s="58"/>
      <c r="O37" s="58"/>
    </row>
    <row r="38" spans="1:15" ht="72" x14ac:dyDescent="0.55000000000000004">
      <c r="A38" s="56">
        <v>34</v>
      </c>
      <c r="B38" s="54" t="s">
        <v>188</v>
      </c>
      <c r="C38" s="54" t="s">
        <v>189</v>
      </c>
      <c r="D38" s="55"/>
      <c r="E38" s="45" t="s">
        <v>119</v>
      </c>
      <c r="F38" s="55"/>
      <c r="G38" s="45"/>
      <c r="H38" s="55"/>
      <c r="I38" s="55"/>
      <c r="J38" s="56" t="s">
        <v>182</v>
      </c>
      <c r="K38" s="54" t="s">
        <v>183</v>
      </c>
      <c r="L38" s="57">
        <v>25287</v>
      </c>
      <c r="M38" s="58"/>
      <c r="N38" s="58"/>
      <c r="O38" s="58"/>
    </row>
    <row r="39" spans="1:15" ht="51.75" customHeight="1" x14ac:dyDescent="0.55000000000000004">
      <c r="A39" s="38">
        <v>35</v>
      </c>
      <c r="B39" s="39" t="s">
        <v>190</v>
      </c>
      <c r="C39" s="39" t="s">
        <v>191</v>
      </c>
      <c r="D39" s="44" t="s">
        <v>119</v>
      </c>
      <c r="E39" s="40"/>
      <c r="F39" s="40"/>
      <c r="G39" s="44"/>
      <c r="H39" s="40"/>
      <c r="I39" s="40"/>
      <c r="J39" s="38" t="s">
        <v>192</v>
      </c>
      <c r="K39" s="39" t="s">
        <v>193</v>
      </c>
      <c r="L39" s="52" t="s">
        <v>194</v>
      </c>
      <c r="M39" s="42">
        <v>3</v>
      </c>
      <c r="N39" s="42">
        <v>150</v>
      </c>
      <c r="O39" s="42"/>
    </row>
    <row r="40" spans="1:15" x14ac:dyDescent="0.55000000000000004">
      <c r="B40" s="47"/>
      <c r="C40" s="46"/>
      <c r="D40" s="48"/>
      <c r="J40" s="46"/>
      <c r="K40" s="47"/>
      <c r="L40" s="49"/>
    </row>
    <row r="41" spans="1:15" x14ac:dyDescent="0.55000000000000004">
      <c r="B41" s="47"/>
      <c r="C41" s="46"/>
      <c r="G41" s="48"/>
      <c r="J41" s="46"/>
      <c r="K41" s="47"/>
      <c r="L41" s="49"/>
    </row>
    <row r="42" spans="1:15" x14ac:dyDescent="0.55000000000000004">
      <c r="B42" s="47"/>
      <c r="C42" s="46"/>
      <c r="G42" s="48"/>
      <c r="J42" s="46"/>
      <c r="K42" s="47"/>
      <c r="L42" s="49"/>
      <c r="N42" s="16">
        <f>SUM(N5:N41)</f>
        <v>400</v>
      </c>
    </row>
    <row r="43" spans="1:15" x14ac:dyDescent="0.55000000000000004">
      <c r="B43" s="47"/>
      <c r="C43" s="47"/>
      <c r="D43" s="48"/>
      <c r="J43" s="46"/>
      <c r="K43" s="47"/>
      <c r="L43" s="49"/>
    </row>
    <row r="44" spans="1:15" x14ac:dyDescent="0.55000000000000004">
      <c r="B44" s="47"/>
      <c r="C44" s="47"/>
      <c r="G44" s="48"/>
      <c r="J44" s="46"/>
      <c r="K44" s="47"/>
      <c r="L44" s="49"/>
    </row>
    <row r="45" spans="1:15" ht="99" customHeight="1" x14ac:dyDescent="0.55000000000000004">
      <c r="B45" s="47"/>
      <c r="C45" s="47"/>
      <c r="F45" s="48"/>
      <c r="J45" s="46"/>
      <c r="K45" s="47"/>
      <c r="L45" s="49"/>
    </row>
    <row r="46" spans="1:15" ht="54" customHeight="1" x14ac:dyDescent="0.55000000000000004">
      <c r="B46" s="47"/>
      <c r="C46" s="47"/>
      <c r="F46" s="48"/>
      <c r="J46" s="46"/>
      <c r="K46" s="47"/>
      <c r="L46" s="49"/>
    </row>
    <row r="47" spans="1:15" x14ac:dyDescent="0.55000000000000004">
      <c r="B47" s="47"/>
      <c r="C47" s="46"/>
      <c r="G47" s="48"/>
      <c r="J47" s="46"/>
      <c r="K47" s="47"/>
      <c r="L47" s="46"/>
    </row>
    <row r="48" spans="1:15" x14ac:dyDescent="0.55000000000000004">
      <c r="B48" s="47"/>
      <c r="C48" s="46"/>
      <c r="G48" s="48"/>
      <c r="J48" s="46"/>
      <c r="K48" s="47"/>
      <c r="L48" s="46"/>
    </row>
    <row r="49" spans="2:14" x14ac:dyDescent="0.55000000000000004">
      <c r="B49" s="47"/>
      <c r="C49" s="47"/>
      <c r="G49" s="48"/>
      <c r="J49" s="46"/>
      <c r="K49" s="47"/>
      <c r="L49" s="47"/>
    </row>
    <row r="50" spans="2:14" x14ac:dyDescent="0.55000000000000004">
      <c r="B50" s="47"/>
      <c r="C50" s="47"/>
      <c r="G50" s="48"/>
      <c r="J50" s="46"/>
      <c r="K50" s="47"/>
      <c r="L50" s="49"/>
    </row>
    <row r="51" spans="2:14" x14ac:dyDescent="0.55000000000000004">
      <c r="B51" s="47"/>
      <c r="C51" s="46"/>
      <c r="D51" s="48"/>
      <c r="J51" s="47"/>
      <c r="K51" s="47"/>
      <c r="L51" s="49"/>
      <c r="N51" s="46"/>
    </row>
    <row r="52" spans="2:14" ht="147" customHeight="1" x14ac:dyDescent="0.55000000000000004">
      <c r="B52" s="47"/>
      <c r="C52" s="47"/>
      <c r="I52" s="48"/>
      <c r="J52" s="47"/>
      <c r="K52" s="47"/>
      <c r="L52" s="49"/>
      <c r="N52" s="46"/>
    </row>
    <row r="53" spans="2:14" x14ac:dyDescent="0.55000000000000004">
      <c r="B53" s="47"/>
      <c r="C53" s="47"/>
      <c r="D53" s="48"/>
      <c r="J53" s="46"/>
      <c r="K53" s="47"/>
      <c r="L53" s="49"/>
      <c r="N53" s="46"/>
    </row>
    <row r="54" spans="2:14" x14ac:dyDescent="0.55000000000000004">
      <c r="B54" s="47"/>
      <c r="C54" s="47"/>
      <c r="D54" s="48"/>
      <c r="J54" s="47"/>
      <c r="K54" s="47"/>
      <c r="L54" s="49"/>
      <c r="N54" s="46"/>
    </row>
    <row r="55" spans="2:14" x14ac:dyDescent="0.55000000000000004">
      <c r="B55" s="47"/>
      <c r="C55" s="46"/>
      <c r="I55" s="48"/>
      <c r="J55" s="47"/>
      <c r="K55" s="47"/>
      <c r="L55" s="49"/>
      <c r="N55" s="46"/>
    </row>
    <row r="56" spans="2:14" x14ac:dyDescent="0.55000000000000004">
      <c r="B56" s="47"/>
      <c r="C56" s="46"/>
      <c r="I56" s="48"/>
      <c r="J56" s="47"/>
      <c r="K56" s="47"/>
      <c r="L56" s="49"/>
      <c r="N56" s="46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conditionalFormatting sqref="A1:O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19685039370078741" right="0" top="0.15748031496062992" bottom="0.35433070866141736" header="0.31496062992125984" footer="0.31496062992125984"/>
  <pageSetup scale="95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8829-BCC5-4282-BE6C-EC5A226D8E68}">
  <dimension ref="A1:P15"/>
  <sheetViews>
    <sheetView tabSelected="1" topLeftCell="C1" zoomScaleNormal="100" workbookViewId="0">
      <selection activeCell="E6" sqref="E6"/>
    </sheetView>
  </sheetViews>
  <sheetFormatPr defaultColWidth="9" defaultRowHeight="24" x14ac:dyDescent="0.55000000000000004"/>
  <cols>
    <col min="1" max="1" width="5.375" style="71" customWidth="1"/>
    <col min="2" max="2" width="23.125" style="89" customWidth="1"/>
    <col min="3" max="3" width="9.5" style="87" customWidth="1"/>
    <col min="4" max="4" width="8" style="71" customWidth="1"/>
    <col min="5" max="5" width="10.75" style="90" customWidth="1"/>
    <col min="6" max="6" width="20.875" style="87" customWidth="1"/>
    <col min="7" max="7" width="13.875" style="87" customWidth="1"/>
    <col min="8" max="8" width="20.375" style="87" customWidth="1"/>
    <col min="9" max="9" width="14.375" style="87" customWidth="1"/>
    <col min="10" max="10" width="17.625" style="88" customWidth="1"/>
    <col min="11" max="11" width="7.375" style="88" customWidth="1"/>
    <col min="12" max="12" width="6" style="88" customWidth="1"/>
    <col min="13" max="13" width="6.75" style="88" customWidth="1"/>
    <col min="14" max="14" width="6.375" style="88" customWidth="1"/>
    <col min="15" max="15" width="12.125" style="71" customWidth="1"/>
    <col min="16" max="16384" width="9" style="71"/>
  </cols>
  <sheetData>
    <row r="1" spans="1:16" x14ac:dyDescent="0.55000000000000004">
      <c r="A1" s="155" t="s">
        <v>195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6" x14ac:dyDescent="0.55000000000000004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</row>
    <row r="3" spans="1:16" s="72" customFormat="1" ht="25.5" customHeight="1" x14ac:dyDescent="0.2">
      <c r="A3" s="151" t="s">
        <v>2</v>
      </c>
      <c r="B3" s="149" t="s">
        <v>196</v>
      </c>
      <c r="C3" s="149" t="s">
        <v>197</v>
      </c>
      <c r="D3" s="157" t="s">
        <v>198</v>
      </c>
      <c r="E3" s="159" t="s">
        <v>199</v>
      </c>
      <c r="F3" s="149" t="s">
        <v>200</v>
      </c>
      <c r="G3" s="161" t="s">
        <v>201</v>
      </c>
      <c r="H3" s="162"/>
      <c r="I3" s="149" t="s">
        <v>202</v>
      </c>
      <c r="J3" s="149" t="s">
        <v>203</v>
      </c>
      <c r="K3" s="151" t="s">
        <v>204</v>
      </c>
      <c r="L3" s="151" t="s">
        <v>205</v>
      </c>
      <c r="M3" s="151" t="s">
        <v>206</v>
      </c>
      <c r="N3" s="151" t="s">
        <v>207</v>
      </c>
      <c r="O3" s="153" t="s">
        <v>16</v>
      </c>
    </row>
    <row r="4" spans="1:16" s="74" customFormat="1" ht="21" customHeight="1" x14ac:dyDescent="0.2">
      <c r="A4" s="152"/>
      <c r="B4" s="150"/>
      <c r="C4" s="150"/>
      <c r="D4" s="158"/>
      <c r="E4" s="160"/>
      <c r="F4" s="150"/>
      <c r="G4" s="73" t="s">
        <v>208</v>
      </c>
      <c r="H4" s="73" t="s">
        <v>209</v>
      </c>
      <c r="I4" s="150"/>
      <c r="J4" s="150"/>
      <c r="K4" s="152"/>
      <c r="L4" s="152"/>
      <c r="M4" s="152"/>
      <c r="N4" s="152"/>
      <c r="O4" s="154"/>
    </row>
    <row r="5" spans="1:16" s="16" customFormat="1" ht="384" x14ac:dyDescent="0.55000000000000004">
      <c r="A5" s="36">
        <v>1</v>
      </c>
      <c r="B5" s="37" t="s">
        <v>210</v>
      </c>
      <c r="C5" s="37" t="s">
        <v>211</v>
      </c>
      <c r="D5" s="36" t="s">
        <v>212</v>
      </c>
      <c r="E5" s="75">
        <v>1666</v>
      </c>
      <c r="F5" s="37" t="s">
        <v>213</v>
      </c>
      <c r="G5" s="37" t="s">
        <v>30</v>
      </c>
      <c r="H5" s="37" t="s">
        <v>214</v>
      </c>
      <c r="I5" s="37" t="s">
        <v>215</v>
      </c>
      <c r="J5" s="37" t="s">
        <v>216</v>
      </c>
      <c r="K5" s="37">
        <v>26</v>
      </c>
      <c r="L5" s="37">
        <v>136</v>
      </c>
      <c r="M5" s="37">
        <v>1</v>
      </c>
      <c r="N5" s="37">
        <v>13</v>
      </c>
      <c r="O5" s="37" t="s">
        <v>217</v>
      </c>
    </row>
    <row r="6" spans="1:16" s="74" customFormat="1" ht="90" customHeight="1" x14ac:dyDescent="0.2">
      <c r="A6" s="76">
        <v>2</v>
      </c>
      <c r="B6" s="77" t="s">
        <v>218</v>
      </c>
      <c r="C6" s="37" t="s">
        <v>211</v>
      </c>
      <c r="D6" s="36" t="s">
        <v>212</v>
      </c>
      <c r="E6" s="78">
        <v>20000</v>
      </c>
      <c r="F6" s="77" t="s">
        <v>158</v>
      </c>
      <c r="G6" s="77" t="s">
        <v>30</v>
      </c>
      <c r="H6" s="77" t="s">
        <v>219</v>
      </c>
      <c r="I6" s="37" t="s">
        <v>220</v>
      </c>
      <c r="J6" s="79" t="s">
        <v>221</v>
      </c>
      <c r="K6" s="77" t="s">
        <v>30</v>
      </c>
      <c r="L6" s="77">
        <v>39</v>
      </c>
      <c r="M6" s="77">
        <v>125</v>
      </c>
      <c r="N6" s="77">
        <v>136</v>
      </c>
      <c r="O6" s="77" t="s">
        <v>222</v>
      </c>
    </row>
    <row r="7" spans="1:16" s="74" customFormat="1" ht="168" x14ac:dyDescent="0.2">
      <c r="A7" s="76">
        <v>3</v>
      </c>
      <c r="B7" s="77" t="s">
        <v>223</v>
      </c>
      <c r="C7" s="77" t="s">
        <v>211</v>
      </c>
      <c r="D7" s="80" t="s">
        <v>212</v>
      </c>
      <c r="E7" s="78">
        <v>20000</v>
      </c>
      <c r="F7" s="77" t="s">
        <v>182</v>
      </c>
      <c r="G7" s="77" t="s">
        <v>30</v>
      </c>
      <c r="H7" s="77" t="s">
        <v>224</v>
      </c>
      <c r="I7" s="77" t="s">
        <v>225</v>
      </c>
      <c r="J7" s="79" t="s">
        <v>226</v>
      </c>
      <c r="K7" s="77">
        <v>2025</v>
      </c>
      <c r="L7" s="77">
        <v>3</v>
      </c>
      <c r="M7" s="77">
        <v>1</v>
      </c>
      <c r="N7" s="77">
        <v>14</v>
      </c>
      <c r="O7" s="77" t="s">
        <v>227</v>
      </c>
    </row>
    <row r="8" spans="1:16" s="74" customFormat="1" ht="130.5" customHeight="1" x14ac:dyDescent="0.2">
      <c r="A8" s="76">
        <v>4</v>
      </c>
      <c r="B8" s="77" t="s">
        <v>228</v>
      </c>
      <c r="C8" s="77" t="s">
        <v>211</v>
      </c>
      <c r="D8" s="80" t="s">
        <v>212</v>
      </c>
      <c r="E8" s="78">
        <v>20000</v>
      </c>
      <c r="F8" s="77" t="s">
        <v>264</v>
      </c>
      <c r="G8" s="77" t="s">
        <v>30</v>
      </c>
      <c r="H8" s="77" t="s">
        <v>229</v>
      </c>
      <c r="I8" s="77" t="s">
        <v>230</v>
      </c>
      <c r="J8" s="79" t="s">
        <v>231</v>
      </c>
      <c r="K8" s="77">
        <v>14</v>
      </c>
      <c r="L8" s="77" t="s">
        <v>30</v>
      </c>
      <c r="M8" s="77">
        <v>23542</v>
      </c>
      <c r="N8" s="77">
        <v>23555</v>
      </c>
      <c r="O8" s="81" t="s">
        <v>265</v>
      </c>
      <c r="P8" s="82"/>
    </row>
    <row r="9" spans="1:16" s="74" customFormat="1" ht="144" x14ac:dyDescent="0.2">
      <c r="A9" s="76">
        <v>5</v>
      </c>
      <c r="B9" s="77" t="s">
        <v>232</v>
      </c>
      <c r="C9" s="77" t="s">
        <v>211</v>
      </c>
      <c r="D9" s="80" t="s">
        <v>212</v>
      </c>
      <c r="E9" s="78">
        <v>20000</v>
      </c>
      <c r="F9" s="77" t="s">
        <v>233</v>
      </c>
      <c r="G9" s="77" t="s">
        <v>30</v>
      </c>
      <c r="H9" s="77" t="s">
        <v>234</v>
      </c>
      <c r="I9" s="77" t="s">
        <v>35</v>
      </c>
      <c r="J9" s="79" t="s">
        <v>235</v>
      </c>
      <c r="K9" s="77">
        <v>10</v>
      </c>
      <c r="L9" s="77">
        <v>1</v>
      </c>
      <c r="M9" s="77">
        <v>1</v>
      </c>
      <c r="N9" s="77">
        <v>19</v>
      </c>
      <c r="O9" s="77" t="s">
        <v>236</v>
      </c>
    </row>
    <row r="10" spans="1:16" s="74" customFormat="1" ht="95.25" customHeight="1" x14ac:dyDescent="0.2">
      <c r="A10" s="76">
        <v>6</v>
      </c>
      <c r="B10" s="77" t="s">
        <v>237</v>
      </c>
      <c r="C10" s="77" t="s">
        <v>211</v>
      </c>
      <c r="D10" s="80" t="s">
        <v>238</v>
      </c>
      <c r="E10" s="78">
        <v>5000</v>
      </c>
      <c r="F10" s="77" t="s">
        <v>166</v>
      </c>
      <c r="G10" s="77" t="s">
        <v>30</v>
      </c>
      <c r="H10" s="77" t="s">
        <v>239</v>
      </c>
      <c r="I10" s="77" t="s">
        <v>35</v>
      </c>
      <c r="J10" s="79" t="s">
        <v>240</v>
      </c>
      <c r="K10" s="77">
        <v>43</v>
      </c>
      <c r="L10" s="77">
        <v>1</v>
      </c>
      <c r="M10" s="77">
        <v>430102</v>
      </c>
      <c r="N10" s="77" t="s">
        <v>30</v>
      </c>
      <c r="O10" s="77" t="s">
        <v>241</v>
      </c>
    </row>
    <row r="11" spans="1:16" s="74" customFormat="1" ht="120" x14ac:dyDescent="0.2">
      <c r="A11" s="76">
        <v>7</v>
      </c>
      <c r="B11" s="77" t="s">
        <v>242</v>
      </c>
      <c r="C11" s="77" t="s">
        <v>211</v>
      </c>
      <c r="D11" s="80" t="s">
        <v>212</v>
      </c>
      <c r="E11" s="78">
        <v>20000</v>
      </c>
      <c r="F11" s="77" t="s">
        <v>243</v>
      </c>
      <c r="G11" s="77" t="s">
        <v>30</v>
      </c>
      <c r="H11" s="77" t="s">
        <v>244</v>
      </c>
      <c r="I11" s="77" t="s">
        <v>245</v>
      </c>
      <c r="J11" s="79" t="s">
        <v>246</v>
      </c>
      <c r="K11" s="77">
        <v>2026</v>
      </c>
      <c r="L11" s="77">
        <v>18</v>
      </c>
      <c r="M11" s="77">
        <v>1</v>
      </c>
      <c r="N11" s="77">
        <v>25</v>
      </c>
      <c r="O11" s="77" t="s">
        <v>227</v>
      </c>
    </row>
    <row r="12" spans="1:16" s="74" customFormat="1" ht="117" customHeight="1" x14ac:dyDescent="0.2">
      <c r="A12" s="76">
        <v>8</v>
      </c>
      <c r="B12" s="77" t="s">
        <v>247</v>
      </c>
      <c r="C12" s="77" t="s">
        <v>248</v>
      </c>
      <c r="D12" s="80" t="s">
        <v>212</v>
      </c>
      <c r="E12" s="78">
        <v>3675</v>
      </c>
      <c r="F12" s="77" t="s">
        <v>141</v>
      </c>
      <c r="G12" s="77" t="s">
        <v>30</v>
      </c>
      <c r="H12" s="77" t="s">
        <v>30</v>
      </c>
      <c r="I12" s="77" t="s">
        <v>245</v>
      </c>
      <c r="J12" s="79" t="s">
        <v>30</v>
      </c>
      <c r="K12" s="77" t="s">
        <v>30</v>
      </c>
      <c r="L12" s="77" t="s">
        <v>30</v>
      </c>
      <c r="M12" s="77" t="s">
        <v>30</v>
      </c>
      <c r="N12" s="77" t="s">
        <v>30</v>
      </c>
      <c r="O12" s="77" t="s">
        <v>249</v>
      </c>
    </row>
    <row r="13" spans="1:16" s="74" customFormat="1" ht="24.75" customHeight="1" x14ac:dyDescent="0.2">
      <c r="A13" s="72"/>
      <c r="B13" s="83"/>
      <c r="C13" s="83"/>
      <c r="D13" s="84"/>
      <c r="E13" s="85"/>
      <c r="F13" s="83"/>
      <c r="G13" s="83"/>
      <c r="H13" s="83"/>
      <c r="I13" s="83"/>
      <c r="J13" s="86"/>
      <c r="K13" s="83"/>
      <c r="L13" s="83"/>
      <c r="M13" s="83"/>
      <c r="N13" s="83"/>
      <c r="O13" s="83"/>
    </row>
    <row r="14" spans="1:16" s="74" customFormat="1" ht="24.75" customHeight="1" x14ac:dyDescent="0.2">
      <c r="A14" s="72"/>
      <c r="B14" s="83"/>
      <c r="C14" s="83"/>
      <c r="D14" s="84"/>
      <c r="E14" s="85"/>
      <c r="F14" s="83"/>
      <c r="G14" s="83"/>
      <c r="H14" s="83"/>
      <c r="I14" s="83"/>
      <c r="J14" s="86"/>
      <c r="K14" s="83"/>
      <c r="L14" s="83"/>
      <c r="M14" s="83"/>
      <c r="N14" s="83"/>
      <c r="O14" s="83"/>
    </row>
    <row r="15" spans="1:16" s="87" customFormat="1" ht="27.95" customHeight="1" x14ac:dyDescent="0.55000000000000004">
      <c r="A15" s="147" t="s">
        <v>266</v>
      </c>
      <c r="B15" s="148"/>
      <c r="C15" s="148"/>
      <c r="D15" s="148"/>
      <c r="E15" s="148"/>
      <c r="F15" s="148"/>
      <c r="J15" s="88"/>
      <c r="K15" s="88"/>
      <c r="L15" s="88"/>
      <c r="M15" s="88"/>
      <c r="N15" s="88"/>
      <c r="O15" s="71"/>
    </row>
  </sheetData>
  <mergeCells count="17">
    <mergeCell ref="N3:N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  <mergeCell ref="A15:F15"/>
    <mergeCell ref="J3:J4"/>
    <mergeCell ref="K3:K4"/>
    <mergeCell ref="L3:L4"/>
    <mergeCell ref="M3:M4"/>
  </mergeCells>
  <pageMargins left="0.23622047244094491" right="0" top="0.23622047244094491" bottom="0.74803149606299213" header="0.23622047244094491" footer="0.31496062992125984"/>
  <pageSetup paperSize="9" scale="74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9512-8394-42D0-94A6-BEAB531318CF}">
  <dimension ref="A1:M5"/>
  <sheetViews>
    <sheetView zoomScaleNormal="100" workbookViewId="0">
      <selection activeCell="C3" sqref="C3:C4"/>
    </sheetView>
  </sheetViews>
  <sheetFormatPr defaultRowHeight="17.25" x14ac:dyDescent="0.4"/>
  <cols>
    <col min="1" max="1" width="6" style="61" customWidth="1"/>
    <col min="2" max="2" width="22.625" style="61" customWidth="1"/>
    <col min="3" max="3" width="23.375" style="61" customWidth="1"/>
    <col min="4" max="4" width="12.625" style="61" customWidth="1"/>
    <col min="5" max="5" width="10" style="61" customWidth="1"/>
    <col min="6" max="6" width="8.375" style="61" customWidth="1"/>
    <col min="7" max="7" width="10.75" style="61" customWidth="1"/>
    <col min="8" max="8" width="12" style="61" customWidth="1"/>
    <col min="9" max="9" width="8.625" style="61" customWidth="1"/>
    <col min="10" max="10" width="9.75" style="61" customWidth="1"/>
    <col min="11" max="11" width="9.5" style="61" customWidth="1"/>
    <col min="12" max="12" width="9" style="61"/>
    <col min="13" max="13" width="7.125" style="61" customWidth="1"/>
    <col min="14" max="16384" width="9" style="61"/>
  </cols>
  <sheetData>
    <row r="1" spans="1:13" ht="24" x14ac:dyDescent="0.4">
      <c r="A1" s="94" t="s">
        <v>250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3" ht="24" x14ac:dyDescent="0.55000000000000004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 s="62" customFormat="1" ht="25.5" customHeight="1" x14ac:dyDescent="0.2">
      <c r="A3" s="96" t="s">
        <v>2</v>
      </c>
      <c r="B3" s="98" t="s">
        <v>103</v>
      </c>
      <c r="C3" s="98" t="s">
        <v>251</v>
      </c>
      <c r="D3" s="96" t="s">
        <v>252</v>
      </c>
      <c r="E3" s="100" t="s">
        <v>105</v>
      </c>
      <c r="F3" s="101"/>
      <c r="G3" s="102" t="s">
        <v>253</v>
      </c>
      <c r="H3" s="103"/>
      <c r="I3" s="104" t="s">
        <v>254</v>
      </c>
      <c r="J3" s="105"/>
      <c r="K3" s="106"/>
      <c r="L3" s="96" t="s">
        <v>255</v>
      </c>
      <c r="M3" s="91" t="s">
        <v>16</v>
      </c>
    </row>
    <row r="4" spans="1:13" s="62" customFormat="1" ht="24.75" customHeight="1" x14ac:dyDescent="0.2">
      <c r="A4" s="97"/>
      <c r="B4" s="97"/>
      <c r="C4" s="97"/>
      <c r="D4" s="99"/>
      <c r="E4" s="59" t="s">
        <v>256</v>
      </c>
      <c r="F4" s="59" t="s">
        <v>257</v>
      </c>
      <c r="G4" s="60" t="s">
        <v>258</v>
      </c>
      <c r="H4" s="63" t="s">
        <v>259</v>
      </c>
      <c r="I4" s="63" t="s">
        <v>260</v>
      </c>
      <c r="J4" s="93" t="s">
        <v>261</v>
      </c>
      <c r="K4" s="93"/>
      <c r="L4" s="97"/>
      <c r="M4" s="92"/>
    </row>
    <row r="5" spans="1:13" ht="43.5" x14ac:dyDescent="0.4">
      <c r="A5" s="64">
        <v>1</v>
      </c>
      <c r="B5" s="65" t="s">
        <v>262</v>
      </c>
      <c r="C5" s="65" t="s">
        <v>263</v>
      </c>
      <c r="D5" s="53" t="s">
        <v>215</v>
      </c>
      <c r="E5" s="66" t="s">
        <v>119</v>
      </c>
      <c r="F5" s="67" t="s">
        <v>30</v>
      </c>
      <c r="G5" s="68">
        <v>24957</v>
      </c>
      <c r="H5" s="64">
        <v>2503001568</v>
      </c>
      <c r="I5" s="65">
        <v>27126</v>
      </c>
      <c r="J5" s="69">
        <v>25216</v>
      </c>
      <c r="K5" s="69">
        <v>246293</v>
      </c>
      <c r="L5" s="70">
        <v>10000</v>
      </c>
      <c r="M5" s="65"/>
    </row>
  </sheetData>
  <mergeCells count="12">
    <mergeCell ref="M3:M4"/>
    <mergeCell ref="J4:K4"/>
    <mergeCell ref="A1:M1"/>
    <mergeCell ref="A2:M2"/>
    <mergeCell ref="A3:A4"/>
    <mergeCell ref="B3:B4"/>
    <mergeCell ref="C3:C4"/>
    <mergeCell ref="D3:D4"/>
    <mergeCell ref="E3:F3"/>
    <mergeCell ref="G3:H3"/>
    <mergeCell ref="I3:K3"/>
    <mergeCell ref="L3:L4"/>
  </mergeCells>
  <pageMargins left="0.31496062992125984" right="0" top="0.15748031496062992" bottom="0" header="0.31496062992125984" footer="0.31496062992125984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3</vt:i4>
      </vt:variant>
    </vt:vector>
  </HeadingPairs>
  <TitlesOfParts>
    <vt:vector size="8" baseType="lpstr">
      <vt:lpstr>1-โครงการวิจัย</vt:lpstr>
      <vt:lpstr>2-โครงการพัฒนาวิชาการ</vt:lpstr>
      <vt:lpstr>3-งานบริการวิชาการ</vt:lpstr>
      <vt:lpstr>4-ผลงานทางวิชาการ</vt:lpstr>
      <vt:lpstr>5-งานทรัพย์สินทางปัญญา</vt:lpstr>
      <vt:lpstr>'2-โครงการพัฒนาวิชาการ'!Print_Titles</vt:lpstr>
      <vt:lpstr>'3-งานบริการวิชาการ'!Print_Titles</vt:lpstr>
      <vt:lpstr>'4-ผลงานทางวิชาการ'!Print_Titles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ทศพร เอี่ยมสะอาด</dc:creator>
  <cp:lastModifiedBy>ทศพร เอี่ยมสะอาด</cp:lastModifiedBy>
  <dcterms:created xsi:type="dcterms:W3CDTF">2026-06-11T09:05:15Z</dcterms:created>
  <dcterms:modified xsi:type="dcterms:W3CDTF">2026-06-12T03:21:37Z</dcterms:modified>
</cp:coreProperties>
</file>
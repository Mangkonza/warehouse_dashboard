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1D6F801-7827-492B-833D-CAF26F0490FA}" xr6:coauthVersionLast="47" xr6:coauthVersionMax="47" xr10:uidLastSave="{00000000-0000-0000-0000-000000000000}"/>
  <bookViews>
    <workbookView xWindow="11700" yWindow="0" windowWidth="17100" windowHeight="15480" xr2:uid="{39D7B609-3A73-4BF1-B9BA-D4594EE0E643}"/>
  </bookViews>
  <sheets>
    <sheet name="1-โครงการวิจัย" sheetId="3" r:id="rId1"/>
    <sheet name="2-โครงการพัฒนาวิชาการ" sheetId="4" r:id="rId2"/>
    <sheet name="3-งานบริการวิชาการ" sheetId="5" r:id="rId3"/>
    <sheet name="4-ผลงานทางวิชาการ" sheetId="6" r:id="rId4"/>
    <sheet name="5-งานทรัพย์สินทางปัญญา" sheetId="7" r:id="rId5"/>
  </sheets>
  <definedNames>
    <definedName name="_xlnm.Print_Titles" localSheetId="1">'2-โครงการพัฒนาวิชาการ'!$1:$5</definedName>
    <definedName name="_xlnm.Print_Titles" localSheetId="2">'3-งานบริการวิชาการ'!$1:$4</definedName>
    <definedName name="_xlnm.Print_Titles" localSheetId="3">'4-ผลงานทางวิชาการ'!$1:$4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5" i="5" l="1"/>
  <c r="L11" i="4"/>
  <c r="K11" i="4"/>
  <c r="J11" i="4"/>
  <c r="M11" i="4" s="1"/>
  <c r="J10" i="4"/>
  <c r="M10" i="4" s="1"/>
  <c r="J9" i="4"/>
  <c r="M9" i="4" s="1"/>
  <c r="M8" i="4"/>
  <c r="L8" i="4"/>
  <c r="K8" i="4"/>
  <c r="J8" i="4"/>
  <c r="J7" i="4"/>
  <c r="M7" i="4" s="1"/>
  <c r="J6" i="4"/>
  <c r="M6" i="4" s="1"/>
  <c r="K6" i="4" l="1"/>
  <c r="K9" i="4"/>
  <c r="L6" i="4"/>
  <c r="L9" i="4"/>
  <c r="K7" i="4"/>
  <c r="K10" i="4"/>
  <c r="L7" i="4"/>
  <c r="L10" i="4"/>
</calcChain>
</file>

<file path=xl/sharedStrings.xml><?xml version="1.0" encoding="utf-8"?>
<sst xmlns="http://schemas.openxmlformats.org/spreadsheetml/2006/main" count="508" uniqueCount="259">
  <si>
    <t>สรุปโครงการวิจัยคณะวิศวกรรมศาสตร์ กำแพงแสน</t>
  </si>
  <si>
    <t>เดือนมกราคม 2569</t>
  </si>
  <si>
    <t>ลำดับ
ที่</t>
  </si>
  <si>
    <t>รหัส
โครงการ</t>
  </si>
  <si>
    <t>ชื่อโครงการ</t>
  </si>
  <si>
    <t>หัวหน้าโครงการ</t>
  </si>
  <si>
    <t>ผู้ร่วมวิจัย</t>
  </si>
  <si>
    <t>หน่วยงาน
รับผิดชอบ</t>
  </si>
  <si>
    <t>ความร่วมมือ</t>
  </si>
  <si>
    <t>ลักษณะโครงการ</t>
  </si>
  <si>
    <t>งบประมาณ</t>
  </si>
  <si>
    <t>แหล่งทุนวิจัย</t>
  </si>
  <si>
    <t>ระยะเวลาเริ่มดำเนินการ</t>
  </si>
  <si>
    <t>ระยะเวลาสิ้นสุดการดำเนินการ</t>
  </si>
  <si>
    <t>การบูรณาการ</t>
  </si>
  <si>
    <t>ระดับ
TRL</t>
  </si>
  <si>
    <t>หมายเหตุ</t>
  </si>
  <si>
    <t>ใน
ประเทศ</t>
  </si>
  <si>
    <t>ต่าง
ประเทศ</t>
  </si>
  <si>
    <t>สร้างความเข้มแข็ง</t>
  </si>
  <si>
    <t>สอดคล้องกับนโยบาย</t>
  </si>
  <si>
    <t>ภายใน</t>
  </si>
  <si>
    <t>ภายนอก</t>
  </si>
  <si>
    <t>การนำความรู้จากการสอนรายวิชา</t>
  </si>
  <si>
    <t>นำวิจัยมาใช้การเรียนการสอน</t>
  </si>
  <si>
    <t>การบริการวิชาการ/      ชื่อโครงการ</t>
  </si>
  <si>
    <t>ศึกษาวิจัยการวิเคราะห์จุดอ่อน
เชิงระบบด้านความมั่นคงปลอดภัยไชเบอร์ของภาครัฐและกรอบแนวทางการยกระดับขีดความสามารถ</t>
  </si>
  <si>
    <t>ผศ.ดร.ไชยาพงษ์ เทพประสิทธิ์</t>
  </si>
  <si>
    <t>ผศ.กายรัฐ เจริญราษฏร์
ผศ.ทรงศักดิ์ ภัทราวุฒิชัย
ผศ.เกศวรา สิทธิโชค
ผศ.นิธิรัชต์ สงวนเดือน
ผศ.จุติเทพ วงษ์เพ็ชร์</t>
  </si>
  <si>
    <t>ภาควิชา
วิศวกรรมชลประทาน</t>
  </si>
  <si>
    <t>-</t>
  </si>
  <si>
    <t>สำนักงานการวิจัย
แห่งชาติ(วช.)</t>
  </si>
  <si>
    <t>การพัฒนาสมบัติทางกลและความทนทานของมอร์ต้าร์ที่รักษาการเสื่อมสภาพด้วยตัวเองโดยการใช้สารสร้างผลึกชนิดต่างๆ</t>
  </si>
  <si>
    <t>ผศ.ดร.เพ็ญพิชชา สนิทอินทร์</t>
  </si>
  <si>
    <t>นายสุบรรณ สนิทอินทร์</t>
  </si>
  <si>
    <t>ภาควิชา
วิศวกรรมโยธา</t>
  </si>
  <si>
    <t>สรุปโครงการพัฒนาวิชาการ</t>
  </si>
  <si>
    <t>ผู้ร่วมโครงการ</t>
  </si>
  <si>
    <t>หน่วยงาน
ดำเนินการ</t>
  </si>
  <si>
    <t>ผู้ขอรับบริการ</t>
  </si>
  <si>
    <t>การจัดสรร</t>
  </si>
  <si>
    <t>บรูณาการการใช้ประโยชน์</t>
  </si>
  <si>
    <t>ระยะเวลาดำเนินการ</t>
  </si>
  <si>
    <t>วันที่นำไปบูรณาการ</t>
  </si>
  <si>
    <t>ระเบียนโครงการ</t>
  </si>
  <si>
    <t>สถานะโครงการ</t>
  </si>
  <si>
    <t>ครั้งแรก</t>
  </si>
  <si>
    <t>มากกว่า 1 ครั้ง</t>
  </si>
  <si>
    <t>ค่า
อำนวย
การ
15 %</t>
  </si>
  <si>
    <t>คณะ
5%</t>
  </si>
  <si>
    <t xml:space="preserve">ภาค
วิชา
5% </t>
  </si>
  <si>
    <t>มก.
5%</t>
  </si>
  <si>
    <t>โครงการวิจัย</t>
  </si>
  <si>
    <t>สิทธิบัตร/
อนุสิทธิบัตร</t>
  </si>
  <si>
    <t>สอดคล้องกับนโยบายชาติ</t>
  </si>
  <si>
    <t>เพิ่มมูลค่า</t>
  </si>
  <si>
    <t>เริ่มต้น</t>
  </si>
  <si>
    <t>สิ้นสุด</t>
  </si>
  <si>
    <t>โครงการพัฒนาแนวทางการประเมินประสิทธิผลและความคุ้มค่าของงานอำนวยความปลอดภัยทางหลวง 1 โครงการ</t>
  </si>
  <si>
    <t>รศ.ดร.วิษุวัฒก์ แต้สมบัติ</t>
  </si>
  <si>
    <t>กรมทางหลวง</t>
  </si>
  <si>
    <t>00340/69</t>
  </si>
  <si>
    <t>ค่าใช้จ่ายในการประเมิน วางแผน จัดทำนโยบายธรรมาภิบาลข้อมูล (Data Governance) กรมทรัพยากรน้ำ แขวงพญาไท เขตพญาไท กรุงเทพมหานคร</t>
  </si>
  <si>
    <t>กรมทรัพยากรน้ำ</t>
  </si>
  <si>
    <t>00341/69</t>
  </si>
  <si>
    <t>โครงการสนับสนุนการขับเคลื่อนภาคอุตสาหกรรมเพื่อการเติบโตที่ส่งผลต่อระบบเศรษฐกิจของประเทศ (กิจกรรมส่งเสริมการลงทุนเพื่อการขยายตัวภาคอุตสาหกรรมแห่งอนาคตและเศรษฐกิจหมุนเวียน)</t>
  </si>
  <si>
    <t>ผศ.ดร.นิธิรัชต์ สงวนเดือน</t>
  </si>
  <si>
    <t>กรมโรงงานอุตสาหกรรม</t>
  </si>
  <si>
    <t>00361/69</t>
  </si>
  <si>
    <t>จ้างติดตั้งและจัดทำระบบติดตามสถานการณ์น้ำระยะไกลอัตโนมัติ พื้นที่ฝั่งขวาแม่น้ำยม สำหรับงานเพิ่มประสิทธิภาพการบริหารจัดการน้ำฝั่งขวาแม่น้ำยมในเขตอำเภอบางระกำ จังหวัดพิษณุโลก ด้วยระบบติดตามสถานการณ์น้ำระยะไกลอัตโนมัติ</t>
  </si>
  <si>
    <t>สำนักงานชลประทานที่ 3 กรมชลประทาน</t>
  </si>
  <si>
    <t>02207545
Flood Forecasting and Warning System</t>
  </si>
  <si>
    <t>00378/69</t>
  </si>
  <si>
    <t>ค่าครุภัณฑ์</t>
  </si>
  <si>
    <t>โครงการบริการวิเคราะห์เเก๊สเรือนกระจกด้วยเครื่อง Gas chromatography พ.ศ. 2569</t>
  </si>
  <si>
    <t>นิสิตในภาควิชาวิศวกรรมชลประทาน (เฉพาะบัณฑิตศึกษา) -  อาจารย์และนักวิจัยในภาควิชาวิศวกรรมชลประทาน -  บุคลากรภายใน-ภายนอก มหาวิทยาลัยเกษตรศาสตร์ - หน่วยงานภาคเอกชน บริษัท ห้างร้าน และบุคคลทั่วไป</t>
  </si>
  <si>
    <t xml:space="preserve">02207591
เทคนิคการวิจัยทางวิศวกรรมชลประทาน </t>
  </si>
  <si>
    <t>00394/69</t>
  </si>
  <si>
    <t>ค่าใช้จ่ายในการจัดทำกลยุทธ์การกำหนดนโยบายและความร่วมมือด้านพลังงานของประเทศเพื่อรองรับการเปลี่ยนแปลงในระยะยาว</t>
  </si>
  <si>
    <t>สำนักงานนโยบายและแผนพลังงาน</t>
  </si>
  <si>
    <t>00401/69</t>
  </si>
  <si>
    <t>สรุปข้อมูลผลงานบริการวิชาการคณะวิศวกรรมศาสตร์ กำแพงแสน</t>
  </si>
  <si>
    <t>ประจำเดือนมกราคม 2569</t>
  </si>
  <si>
    <t>เรื่อง</t>
  </si>
  <si>
    <t>กลุ่มเป้าหมาย</t>
  </si>
  <si>
    <t>ประเภท</t>
  </si>
  <si>
    <t>ชื่อ - นามสกุล</t>
  </si>
  <si>
    <t>ภาควิชา/ศูนย์ฯ</t>
  </si>
  <si>
    <t>วัน/เดือน/ปี</t>
  </si>
  <si>
    <t>จำนวนชั่วโมง</t>
  </si>
  <si>
    <t>จำนวนคน</t>
  </si>
  <si>
    <t>วิทยากร/อาจารย์พิเศษ</t>
  </si>
  <si>
    <t>วิชาการ</t>
  </si>
  <si>
    <t>วิชาชีพ</t>
  </si>
  <si>
    <t>ผู้ทรงคุณวุฒิ</t>
  </si>
  <si>
    <t>วิทยานิพนธ์ภายนอก</t>
  </si>
  <si>
    <t>ศึกษาดูงาน วศ.กพส.</t>
  </si>
  <si>
    <t>การประชุมระดมสมองเพื่อจัดทำยุทธศาสตร์เครื่องจักรกลการเกษตรของประเทศ</t>
  </si>
  <si>
    <t>สถาบันไทย-เยอรมัน</t>
  </si>
  <si>
    <t>ü</t>
  </si>
  <si>
    <t xml:space="preserve">ผศ.ดร.วันรัฐ  อับดุลลากาซิม
</t>
  </si>
  <si>
    <t>ภาควิชา
วิศวกรรมเกษตร</t>
  </si>
  <si>
    <t>การประชุมระดมสมองเพื่อจัดทำยุทธศาสตร์เครื่องจักรกลการเกษตร
ของประเทศ</t>
  </si>
  <si>
    <t>ผศ.ดร.วัชรชาญ สุขเจริญวิภารัตน์</t>
  </si>
  <si>
    <t>เป็นผู้ทรงคุณวุฒิ
ประเมินบทความนานาชาติ</t>
  </si>
  <si>
    <t>Journal of Food 
Composition and Analysis</t>
  </si>
  <si>
    <t>ศ.ดร.อนุพันธ์ เทอดวงศ์วรกุล</t>
  </si>
  <si>
    <t>14-20
ม.ค.-69</t>
  </si>
  <si>
    <t>ประชุมคณะอนุกรรมการวิชาการ กรรมการลุ่มน้ำท่าจีน 
ครั้งที่ 1/2569 online</t>
  </si>
  <si>
    <t>สำนักงานทรัพยากรน้ำแห่งชาติภาค 2  
(คณะกรรมการลุ่มน้ำท่าจีน)</t>
  </si>
  <si>
    <t>รศ.ดร.ชัยศรี สุขสาโรจน์</t>
  </si>
  <si>
    <t>วารสาร Water practice and technology</t>
  </si>
  <si>
    <t>วารสาร Sustainable Production and Consumption</t>
  </si>
  <si>
    <t>กรรมการประเมินคุณภาพการศึกษาภายใน ระดับหลักสูตร ปีการศึกษา 2567</t>
  </si>
  <si>
    <t>ผศ.ดร.ชูพันธุ์ ชมภูจันทร์</t>
  </si>
  <si>
    <t>ประชุมคณะอนุกรรมการขับเคลื่อนแผนแม่บทการบริหารจัดการทรัพยากรน้ำในเขตลุ่มน้ำเจ้าพระยา 
ครั้งที่ 1/2569</t>
  </si>
  <si>
    <t>คณะกรรมการลุ่มน้ำเจ้าพระยา (ประชุมออนไลน์)</t>
  </si>
  <si>
    <t>รศ.ดร.บัญชา ขวัญยืน</t>
  </si>
  <si>
    <t>ประชุมรับฟังความคิดเห็นต่อรายงานผลดำเนินการศึกษาและวางแนวทางการแก้ปัญหาอุทกภัยหาดใหญ่อย่างยั่งยืน</t>
  </si>
  <si>
    <t xml:space="preserve">พื้นที่อำเภอหาดใหญ่ จ.สงขลา ในคณะกรรมการดำเนินการศึกษาและวางแนวทางการแก้ปัญหา อุทกภัยหาดใหญ่อย่างยั่งยืน
</t>
  </si>
  <si>
    <t>วิทยากรบรรยาย "แนวทางการจัดสรรน้ำและการใช้น้ำ และการจัดลำดับความสำคัญของการใช้น้ำ ประกอบการพิจารณาอนุญาตการใช้น้ำในภาวะน้ำแล้ง/น้ำท่วม ในมุมมองของผู้แทนคณะ
กรรมการลุ่มน้ำ"</t>
  </si>
  <si>
    <t>กรมทรัพยากรน้ำ ณ โรงแรมเวสต์เกตเรสซิเดนซ์ อำเภอบางใหญ่ จ.นนทบุรี</t>
  </si>
  <si>
    <t>ประชุมคณะกรรมการลุ่มน้ำเจ้าพระยา ครั้งที่ 1/2569</t>
  </si>
  <si>
    <t>คณะกรรมการลุ่มน้ำเจ้าพระยา ณ ศาลากลางจังหวัดนครสวรรค์</t>
  </si>
  <si>
    <t>วารสาร CLEAN - 
Soil, Air, Water</t>
  </si>
  <si>
    <t>วารสาร Bioresource Technology Reports</t>
  </si>
  <si>
    <t>วารสาร Water</t>
  </si>
  <si>
    <t>ประชุมหารือแลกเปลี่ยนและรับฟังข้อเสนอแนะโครงการก่อสร้างระบบป้องกันน้ำท่วมพื้นที่ชุมชนเมืองสมุทรสงคราม</t>
  </si>
  <si>
    <t>สำนักงานโยธาธิการและผังเมือง ศาลากลางจังหวัดสมุทรสงคราม</t>
  </si>
  <si>
    <t>เป็นผู้เชี่ยวชาญ "จัดทำร่างประกาศเชิญชวน ร่างเอกสารสำหรับคัดเลือกเอกชน 
ร่างเอกสารสัญญาร่วมลงทุน"</t>
  </si>
  <si>
    <t>เมืองพัทยา จังหวัดชลบุรี</t>
  </si>
  <si>
    <t xml:space="preserve">เป็นอนุกรรมการในสมาคมวิศวกรรมสถานแห่ง
ประเทศไทย ในพระราชูปถัมภ์ </t>
  </si>
  <si>
    <t>สมาคมวิศวกรรมสถานแห่งประเทศไทย</t>
  </si>
  <si>
    <t>ดร.ปาณิศา แสงแก้ว</t>
  </si>
  <si>
    <t>เป็นผู้ประเมินด้านวิชาการในการตรวจประเมินใหม่ห้องปฏิบัติการทดสอบ</t>
  </si>
  <si>
    <t>บริษัท ซีพีเอฟ 
(ประเทศไทย) 
จำกัด มหาชน โรงงานผลิตอาหารสัตว์ กม.21  
จ.สมุทรปราการ</t>
  </si>
  <si>
    <t>รศ.ดร.รณฤทธิ์ ฤทธิรณ</t>
  </si>
  <si>
    <t>ภาควิชา
วิศวกรรมการอาหาร</t>
  </si>
  <si>
    <t>15-16 ม.ค.69</t>
  </si>
  <si>
    <t>เป็นผู้ประเมินด้านวิชาการในการตรวจประเมินความสามารถและประสบการณ์เหมาะสม</t>
  </si>
  <si>
    <t>บริษัท ซีพีเอฟ 
(ประเทศไทย) จำกัด มหาชน โรงงานผลิตอาหารสัตว์น้ำ จ.สมุทรสาคร</t>
  </si>
  <si>
    <t>20-21 ม.ค.69</t>
  </si>
  <si>
    <t xml:space="preserve">แต่งตั้งคณะอนุกรรมการวิศวกรรมวัสดุคอนกรีต 
การซ่อมแซม และการบำรุงรักษาเพื่อความยั่งยืนในคณะกรรมการสาขาวิศวกรรมโยธา ประจำปี 2569 </t>
  </si>
  <si>
    <t>สมาคมวิศวกรรมสถานแห่งประเทศไทย ที่024/2569</t>
  </si>
  <si>
    <t xml:space="preserve">แต่งตั้งคณะอนุกรรมการวิศวกรรมวัสดุคอนกรีต การซ่อมแซม และการบำรุงรักษาเพื่อความยั่งยืนในคณะกรรมการสาขาวิศวกรรมโยธา ประจำปี 2569 </t>
  </si>
  <si>
    <t>เป็นกรรมการสอบ
วิทยานิพนธ์ของนักศึกษา</t>
  </si>
  <si>
    <t>โครงการบัณฑิตศึกษา 
สาขาวิชาวิศวกรรมโยธา คณะวิศวกรรมศาสตร์ มหาวิทยาลัยธรรมศาสตร์ ศูนย์รังสิต</t>
  </si>
  <si>
    <t>Iranian Journal 
of Science and 
Technology, Transactions of Civil Engineering</t>
  </si>
  <si>
    <t>แต่งตั้งอาจารย์ที่ปรึกษาวิทยานิพนธ์และคณะกรรมการสอบวิทยานิพนธ์ ที่ 21/2569</t>
  </si>
  <si>
    <t>มหาวิทยาลัยธรรมศาสตร์
ศูนย์รังสิต</t>
  </si>
  <si>
    <t>แต่งตั้งคณะกรรมการประเมินคุณภาพการศึกษาภายใน ระดับหลักสูตร ตามเกณฑ์ AUN-QA ประจำปีการศึกษา 2567 (ชุดที่4)</t>
  </si>
  <si>
    <t>มหาวิทยาลัยเกษตรศาสตร์ กำแพงแสน</t>
  </si>
  <si>
    <t>รศ.ดร.เบญญา กสานติกุล</t>
  </si>
  <si>
    <t>ภาควิชา
วิศวกรรมเครื่องกล</t>
  </si>
  <si>
    <t>เป็นอาจารย์พิเศษ 
บรรยายในหัวข้อ "Quality Management and Control"</t>
  </si>
  <si>
    <t>คณะวิทยาการจัดการ มหาวิทยาลัยสงขลานครินทร์</t>
  </si>
  <si>
    <t xml:space="preserve">ผศ.ดร.จิรเกียรติ  ทรายทอง </t>
  </si>
  <si>
    <t>ภาควิชา
วิศวกรรมอุตสาหการ</t>
  </si>
  <si>
    <t xml:space="preserve">17-18 ม.ค.69 </t>
  </si>
  <si>
    <t>การประชุมวิชาการ 
OR-NET 2026</t>
  </si>
  <si>
    <t xml:space="preserve">ผศ.ดร.อธิวัฒน์  บุญมี </t>
  </si>
  <si>
    <t xml:space="preserve">วิทยากรค่ายพัฒนาทักษะทางวิชาการ ในหัวข้อ กิจกรรมศาสตร์ของวัสดุและการประคอง </t>
  </si>
  <si>
    <t xml:space="preserve">คณะศิลปศาสตร์และวิทยาศาสตร์ มก กพส </t>
  </si>
  <si>
    <t>ผศ.ดร.ชัยมงคล ลิ้มเพียรชอบ</t>
  </si>
  <si>
    <t xml:space="preserve">31 ม.ค.69 
</t>
  </si>
  <si>
    <t>การประชุมวิชาการระดับชาติ OR-NET2026</t>
  </si>
  <si>
    <t>รศ.ดร.ศศรส  ใจจิตร์</t>
  </si>
  <si>
    <t>การบริหารจัดการวัสดุเหลือใช้ทางการเกษตร "การใช้ประโยชน์ฟางข้าวและแกลบ"</t>
  </si>
  <si>
    <t>กรมการข้าว</t>
  </si>
  <si>
    <t>ผศ.นงลักษณ์ เล็กรุ่งเรืองกิจ</t>
  </si>
  <si>
    <t>ศูนย์ปฏิบัติการวิศวกรรม
พลังงานและสิ่งแวดล้อม</t>
  </si>
  <si>
    <t>บริษัท มินริน จำกัด เข้าศึกษาดูงานเครื่องอัดภาชนะใบไม้</t>
  </si>
  <si>
    <t>บริษัท มินริน จำกัด</t>
  </si>
  <si>
    <t>ผศ.นงลักษณ์ เล็กรุ่งเรือง
นายรัตนศักดิ์ ทรัพย์เย็น
นางสาวธันยพร โส๊ะอ้น
นายสมเกียรติ อิ่มจันทร์
นางสาวอทิตยา แผ้วไพบูลย์</t>
  </si>
  <si>
    <t>มหาวิทยาลัยสงขลานครินทร์ เข้าศึกษาดูงานและหารือด้านก๊าซชีวภาพ</t>
  </si>
  <si>
    <t>อาจารย์ประจำสาขาวิชาวิศวกรรมเคมี</t>
  </si>
  <si>
    <t>ผศ.นงลักษณ์ เล็กรุ่งเรือง</t>
  </si>
  <si>
    <t>วิทยากรการบรรยายในการสัมมนาเชิงปฏิบัติการด้านการพัฒนาผลิตภัณฑ์จากวัสดุเหลือใช้จากกระบวนการผลิตข้าว 
จ.อยุธยา</t>
  </si>
  <si>
    <t>เกษตรกร แล้วเจ้าหน้าที่กรมการข้าว/เจ้าหน้าที่โครงการ</t>
  </si>
  <si>
    <t>Review ต้นฉบับบทความวิจัยวารสารระดับนานาชาติ Computers and Electronics In Agriculture 1 เรื่อง</t>
  </si>
  <si>
    <t>วารสาร Computers and Electronics in Agriculture</t>
  </si>
  <si>
    <t>ผศ.ดร.วันรัฐ  อับดุลลากาซิม</t>
  </si>
  <si>
    <t>แต่งตั้งผู้ทรงคุณวุฒิพิจารณาบทความวิจัยเพื่อตีพิมพ์ลงวารสารวิชาการ มหาวิทยาลัยเทคโนโลยีราชมงคลอีสาน (ฉบับที่ 349)</t>
  </si>
  <si>
    <t>ภาครัฐและเอกชน</t>
  </si>
  <si>
    <t>แต่งตั้งที่ปรึกษาภายใน ด้านการพัฒนาคุณภาพการศึกษาสู่ความเป็นเลิศ มหาวิทยาลัยเกษตรศาสตร์</t>
  </si>
  <si>
    <t>มหาวิทยาลัยเกษตรศาสตร์</t>
  </si>
  <si>
    <t>สรุปข้อมูลสิ่งตีพิมพ์ผลงานทางวิชาการ ประจำปี 2569</t>
  </si>
  <si>
    <t>ชื่อผลงานทางวิชาการ</t>
  </si>
  <si>
    <t>ชนิดของผลงาน</t>
  </si>
  <si>
    <t>ระดับ</t>
  </si>
  <si>
    <t>จำนวนเงินสนับสนุน</t>
  </si>
  <si>
    <t>เจ้าของผลงาน</t>
  </si>
  <si>
    <t>ผู้ร่วม</t>
  </si>
  <si>
    <t>สังกัดภาควิชา/สาขาวิชา</t>
  </si>
  <si>
    <t>รายละเอียดวารสาร/การประชุม</t>
  </si>
  <si>
    <t>Volume</t>
  </si>
  <si>
    <t>Issue</t>
  </si>
  <si>
    <t>Page start</t>
  </si>
  <si>
    <t>Page end</t>
  </si>
  <si>
    <t>ต่างชาติ</t>
  </si>
  <si>
    <t>ภายในประเทศ</t>
  </si>
  <si>
    <t>Mechanical, fatigue, and microstructural properties of rubber wood fly ash-based alkali-activated concrete</t>
  </si>
  <si>
    <t>ตีพิมพ์</t>
  </si>
  <si>
    <t>นานาชาติ</t>
  </si>
  <si>
    <t>Tavorn Kuasakul,
Wisitsak Tabyang,
Suraparb Keawsawasvong,
Chanachai Thongchom,
Cherdsak Suksiripattanapong</t>
  </si>
  <si>
    <t xml:space="preserve">Case Studies in Construction Materials          </t>
  </si>
  <si>
    <t xml:space="preserve"> e05539 </t>
  </si>
  <si>
    <t>Q1
ส่งเบิกส่วนของภาควิชาแล้ว</t>
  </si>
  <si>
    <t>Physiological indicators drive climate-smart and sustainable AWD irrigation in rice systems</t>
  </si>
  <si>
    <t>Bittawat Wichaidist,
Amornrat Intrman,
Pavit Jumhom,
Songsak Puttrawutichai,
Chawakorn Rewtragulpaibul</t>
  </si>
  <si>
    <t xml:space="preserve">ภาควิชา
วิศวกรรมชลประทาน  </t>
  </si>
  <si>
    <t xml:space="preserve">Scientific Reports </t>
  </si>
  <si>
    <t>The Study of the impact of water channel obstructions in the lower Mun River on flooding</t>
  </si>
  <si>
    <t>ชาติ</t>
  </si>
  <si>
    <t xml:space="preserve">นางสาวสุภาพร ทองเต็ม, 
นายวัชระ องค์โชติยะกุล
</t>
  </si>
  <si>
    <t>Journal of Applied Research on Science and Technology (JARST)</t>
  </si>
  <si>
    <t>TCI1
ส่งเบิกส่วนของภาควิชาแล้ว</t>
  </si>
  <si>
    <t>Performance comparison between gradient orifice and uniform   orifice distributors in rotating fluidization for coated jasmine rice</t>
  </si>
  <si>
    <t>เตรียมความพร้อมตีพิมพ์</t>
  </si>
  <si>
    <t>รศ.ดร.ปรีดา ปรากฏมาก</t>
  </si>
  <si>
    <t>Dr.Andrew Warew</t>
  </si>
  <si>
    <t xml:space="preserve">ภาควิชา
วิศวกรรมเครื่องกล </t>
  </si>
  <si>
    <t xml:space="preserve">Journal of Food Engineering </t>
  </si>
  <si>
    <t>ค่าตรวจสอบผู้เชี่ยวชาญให้บริการปรึกษาวิจัย</t>
  </si>
  <si>
    <t>Determining the Optimal Order Quantity for Perishable Products Affected by Stochastic Transportation Delays</t>
  </si>
  <si>
    <t>ผศ.ดร.จิรเกียรติ ทรายทอง</t>
  </si>
  <si>
    <t xml:space="preserve">Banthita Kanchanasathita,
Atchara Wangpa,
Apisit Pitakcheun </t>
  </si>
  <si>
    <t>Q2</t>
  </si>
  <si>
    <t>การออกแบบและพัฒนาเครื่องกำจัดวัชพืชแบบไม่ใช้สารเคมีต่อท้ายรถแทรกเตอร์</t>
  </si>
  <si>
    <t>รศ.ดร.ประเทือง อุษาบริสุทธิ์</t>
  </si>
  <si>
    <t>พงศ์พันธุ์ ปั้นนมยุรา
อ.ดร.วัชรชาญ สุขเจริญวิภารัตน์</t>
  </si>
  <si>
    <t xml:space="preserve">วารสารวิชาการเกษตร </t>
  </si>
  <si>
    <t>A low-cost sensor-based roller weeder to support non-chemical weed control in smallholder rice systems</t>
  </si>
  <si>
    <t xml:space="preserve">นางสาวปดิวรดา อนันตศิริ
ผศ.ดร.วันรัฐ อับดุลลากาซิม
อ.ดร.วัชรชาญ สุขเจริญวิภารัตน์
อ.ดร.ชัยยะ จันทรา
นายประเสริฐศักดิ์ ภักดีวงศ์
</t>
  </si>
  <si>
    <t xml:space="preserve">Journal of the Saudi Society of Agricultural Sciences </t>
  </si>
  <si>
    <t>การปรับปรุงประสิทธิภาพแถวคอยยานพาหนะและการลำเลียงสินค้าผ่านการจำลองสถานการณ์ : กรณีศึกษา (Improving the Efficiency of Vehicle Queuing and Product Conveyance through Simulation : A Case Study)</t>
  </si>
  <si>
    <t>ผศ.ดร.อณจ ชัยมณี</t>
  </si>
  <si>
    <t xml:space="preserve">สุรีพร ยืนยงค
อิทธณณัฏฐ ปลูกฝง 
บูรณสิวรรธ ขำทัพ
</t>
  </si>
  <si>
    <t xml:space="preserve">Journal of Engineering and Digital Technology (JEDT) </t>
  </si>
  <si>
    <t>Performance comparison between gradient orifice and uniform orifice distributors in rotating fluidization for coated jasmine rice</t>
  </si>
  <si>
    <t xml:space="preserve">รศ.ดร.ปรีดา ปรากฏมาก </t>
  </si>
  <si>
    <t>ผศ.ดร.วัชมา พธิ์ทอง
รศ.ดร.ชียวัฒน์ รัตนมีชัย
รศ.ดร.นิตยา จันกา</t>
  </si>
  <si>
    <t xml:space="preserve">ภาควิชา
วิศวกรรมเครื่องกล  </t>
  </si>
  <si>
    <t>Journal of Food Engineering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</si>
  <si>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ในเดือนมกราคม 2569</t>
    </r>
  </si>
  <si>
    <t xml:space="preserve">สรุปผลงานทรัพย์สินทางปัญญาอนุสิทธิบัตร/สิทธิบัตร/รางวัล  </t>
  </si>
  <si>
    <t>ผู้ประดิษฐ์</t>
  </si>
  <si>
    <t>สังกัด</t>
  </si>
  <si>
    <t>ขั้นตอนดำเนินการ</t>
  </si>
  <si>
    <t>ได้รับความคุ้มครอง</t>
  </si>
  <si>
    <t>คณะฯ 
สนับสนุน</t>
  </si>
  <si>
    <t>อนุสิทธิบัตร</t>
  </si>
  <si>
    <t>สิทธิบัตร</t>
  </si>
  <si>
    <t>วันที่ยื่นคำขอ</t>
  </si>
  <si>
    <t>เลขที่คำขอ</t>
  </si>
  <si>
    <t>เลขที่</t>
  </si>
  <si>
    <t>ระยะเวลาความคุ้มครอง</t>
  </si>
  <si>
    <t>ชุดอุปกรณ์ตรวจวัดความชื้นของเมล็ดพืช</t>
  </si>
  <si>
    <t>รศ.ดร.พิมพ์พรรณ ปรืองาม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</si>
</sst>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187041E]d\ mmm\ yy;@"/>
    <numFmt numFmtId="188" formatCode="_-* #,##0_-;\-* #,##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name val="TH Sarabun New"/>
      <family val="2"/>
    </font>
    <font>
      <sz val="14"/>
      <name val="TH Sarabun New"/>
      <family val="2"/>
    </font>
    <font>
      <sz val="11"/>
      <color theme="1"/>
      <name val="TH Sarabun New"/>
      <family val="2"/>
    </font>
    <font>
      <b/>
      <sz val="14"/>
      <name val="TH Sarabun New"/>
      <family val="2"/>
    </font>
    <font>
      <sz val="14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0"/>
      <name val="Arial"/>
      <family val="2"/>
    </font>
    <font>
      <b/>
      <sz val="12"/>
      <name val="TH Sarabun New"/>
      <family val="2"/>
    </font>
    <font>
      <sz val="13"/>
      <color theme="1"/>
      <name val="TH Sarabun New"/>
      <family val="2"/>
    </font>
    <font>
      <sz val="16"/>
      <name val="Wingdings"/>
      <charset val="2"/>
    </font>
    <font>
      <sz val="15"/>
      <name val="TH Sarabun New"/>
      <family val="2"/>
    </font>
    <font>
      <sz val="16"/>
      <name val="TH Sarabun New"/>
      <family val="2"/>
      <charset val="222"/>
    </font>
    <font>
      <sz val="14.5"/>
      <name val="TH Sarabun New"/>
      <family val="2"/>
    </font>
    <font>
      <sz val="11"/>
      <color theme="1"/>
      <name val="Tahoma"/>
      <family val="2"/>
      <charset val="222"/>
    </font>
    <font>
      <b/>
      <sz val="16"/>
      <color indexed="8"/>
      <name val="TH Sarabun New"/>
      <family val="2"/>
    </font>
    <font>
      <sz val="14"/>
      <color indexed="8"/>
      <name val="TH Sarabun New"/>
      <family val="2"/>
    </font>
    <font>
      <b/>
      <sz val="14"/>
      <color indexed="8"/>
      <name val="TH Sarabun New"/>
      <family val="2"/>
    </font>
    <font>
      <sz val="12"/>
      <color indexed="8"/>
      <name val="TH Sarabun New"/>
      <family val="2"/>
    </font>
    <font>
      <sz val="20"/>
      <color rgb="FFFF0000"/>
      <name val="TH Sarabun New"/>
      <family val="2"/>
    </font>
    <font>
      <b/>
      <sz val="20"/>
      <color rgb="FFFF0000"/>
      <name val="TH Sarabun New"/>
      <family val="2"/>
    </font>
    <font>
      <sz val="20"/>
      <color indexed="8"/>
      <name val="TH Sarabun New"/>
      <family val="2"/>
    </font>
    <font>
      <sz val="14"/>
      <color theme="1"/>
      <name val="TH Sarabun New"/>
      <family val="2"/>
      <charset val="222"/>
    </font>
    <font>
      <sz val="14"/>
      <name val="TH Sarabun New"/>
      <family val="2"/>
      <charset val="222"/>
    </font>
    <font>
      <sz val="14"/>
      <name val="Wingdings"/>
      <charset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/>
  </cellStyleXfs>
  <cellXfs count="181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43" fontId="6" fillId="0" borderId="2" xfId="1" applyFont="1" applyBorder="1" applyAlignment="1">
      <alignment horizontal="center" vertical="top"/>
    </xf>
    <xf numFmtId="17" fontId="3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textRotation="90"/>
    </xf>
    <xf numFmtId="0" fontId="6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187" fontId="6" fillId="0" borderId="2" xfId="0" applyNumberFormat="1" applyFont="1" applyBorder="1" applyAlignment="1">
      <alignment horizontal="center" vertical="top"/>
    </xf>
    <xf numFmtId="187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center" vertical="top" wrapText="1"/>
    </xf>
    <xf numFmtId="43" fontId="6" fillId="0" borderId="0" xfId="1" applyFont="1" applyBorder="1" applyAlignment="1">
      <alignment horizontal="center" vertical="top"/>
    </xf>
    <xf numFmtId="15" fontId="6" fillId="0" borderId="0" xfId="0" applyNumberFormat="1" applyFont="1" applyAlignment="1">
      <alignment horizontal="center" vertical="top"/>
    </xf>
    <xf numFmtId="0" fontId="8" fillId="0" borderId="0" xfId="0" applyFont="1"/>
    <xf numFmtId="0" fontId="5" fillId="0" borderId="2" xfId="0" applyFont="1" applyBorder="1" applyAlignment="1">
      <alignment horizontal="center" vertical="top" wrapText="1" shrinkToFit="1"/>
    </xf>
    <xf numFmtId="0" fontId="8" fillId="0" borderId="0" xfId="0" applyFont="1" applyAlignment="1">
      <alignment vertical="top"/>
    </xf>
    <xf numFmtId="43" fontId="6" fillId="0" borderId="2" xfId="1" applyFont="1" applyBorder="1" applyAlignment="1">
      <alignment vertical="top"/>
    </xf>
    <xf numFmtId="43" fontId="6" fillId="0" borderId="2" xfId="0" applyNumberFormat="1" applyFont="1" applyBorder="1" applyAlignment="1">
      <alignment horizontal="center" textRotation="90"/>
    </xf>
    <xf numFmtId="15" fontId="6" fillId="0" borderId="2" xfId="0" applyNumberFormat="1" applyFont="1" applyBorder="1" applyAlignment="1">
      <alignment horizontal="center" vertical="top"/>
    </xf>
    <xf numFmtId="43" fontId="6" fillId="0" borderId="2" xfId="1" applyFont="1" applyBorder="1" applyAlignment="1">
      <alignment horizontal="center" vertical="top" textRotation="90"/>
    </xf>
    <xf numFmtId="43" fontId="6" fillId="0" borderId="2" xfId="1" applyFont="1" applyBorder="1" applyAlignment="1"/>
    <xf numFmtId="0" fontId="6" fillId="0" borderId="14" xfId="0" applyFont="1" applyBorder="1" applyAlignment="1">
      <alignment horizontal="center" vertical="top" wrapText="1"/>
    </xf>
    <xf numFmtId="39" fontId="6" fillId="0" borderId="14" xfId="0" applyNumberFormat="1" applyFont="1" applyBorder="1" applyAlignment="1">
      <alignment vertical="top"/>
    </xf>
    <xf numFmtId="0" fontId="6" fillId="0" borderId="2" xfId="0" applyFont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39" fontId="6" fillId="0" borderId="15" xfId="0" applyNumberFormat="1" applyFont="1" applyBorder="1" applyAlignment="1">
      <alignment vertical="top"/>
    </xf>
    <xf numFmtId="43" fontId="6" fillId="0" borderId="1" xfId="0" applyNumberFormat="1" applyFont="1" applyBorder="1" applyAlignment="1">
      <alignment horizontal="center" textRotation="90"/>
    </xf>
    <xf numFmtId="15" fontId="6" fillId="0" borderId="1" xfId="0" applyNumberFormat="1" applyFont="1" applyBorder="1" applyAlignment="1">
      <alignment horizontal="center" vertical="top"/>
    </xf>
    <xf numFmtId="43" fontId="6" fillId="0" borderId="1" xfId="1" applyFont="1" applyBorder="1" applyAlignment="1">
      <alignment horizontal="center" vertical="top" textRotation="90"/>
    </xf>
    <xf numFmtId="0" fontId="6" fillId="0" borderId="1" xfId="0" applyFont="1" applyBorder="1" applyAlignment="1">
      <alignment vertical="top"/>
    </xf>
    <xf numFmtId="0" fontId="11" fillId="0" borderId="2" xfId="0" applyFont="1" applyBorder="1" applyAlignment="1">
      <alignment horizontal="center" vertical="top" wrapText="1"/>
    </xf>
    <xf numFmtId="39" fontId="6" fillId="0" borderId="2" xfId="0" applyNumberFormat="1" applyFont="1" applyBorder="1" applyAlignment="1">
      <alignment vertical="top"/>
    </xf>
    <xf numFmtId="43" fontId="6" fillId="0" borderId="2" xfId="0" applyNumberFormat="1" applyFont="1" applyBorder="1" applyAlignment="1">
      <alignment vertical="top" textRotation="90"/>
    </xf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43" fontId="8" fillId="0" borderId="0" xfId="1" applyFont="1" applyAlignment="1"/>
    <xf numFmtId="0" fontId="7" fillId="0" borderId="0" xfId="0" applyFont="1"/>
    <xf numFmtId="0" fontId="2" fillId="0" borderId="2" xfId="0" applyFont="1" applyBorder="1" applyAlignment="1">
      <alignment horizontal="center" vertical="top" textRotation="90"/>
    </xf>
    <xf numFmtId="0" fontId="2" fillId="0" borderId="2" xfId="0" applyFont="1" applyBorder="1" applyAlignment="1">
      <alignment vertical="top" textRotation="90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vertical="top"/>
    </xf>
    <xf numFmtId="15" fontId="8" fillId="0" borderId="2" xfId="0" applyNumberFormat="1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15" fontId="8" fillId="0" borderId="2" xfId="0" applyNumberFormat="1" applyFont="1" applyBorder="1" applyAlignment="1">
      <alignment horizontal="center" vertical="top" wrapText="1"/>
    </xf>
    <xf numFmtId="0" fontId="8" fillId="0" borderId="2" xfId="0" applyFont="1" applyBorder="1" applyAlignment="1">
      <alignment vertical="top"/>
    </xf>
    <xf numFmtId="0" fontId="8" fillId="0" borderId="2" xfId="0" applyFont="1" applyBorder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15" fontId="8" fillId="0" borderId="1" xfId="0" applyNumberFormat="1" applyFont="1" applyBorder="1" applyAlignment="1">
      <alignment horizontal="center" vertical="top"/>
    </xf>
    <xf numFmtId="0" fontId="8" fillId="0" borderId="1" xfId="0" applyFont="1" applyBorder="1"/>
    <xf numFmtId="0" fontId="14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vertical="top"/>
    </xf>
    <xf numFmtId="0" fontId="14" fillId="0" borderId="2" xfId="0" applyFont="1" applyBorder="1" applyAlignment="1">
      <alignment horizontal="center" vertical="top"/>
    </xf>
    <xf numFmtId="15" fontId="14" fillId="0" borderId="2" xfId="0" applyNumberFormat="1" applyFont="1" applyBorder="1" applyAlignment="1">
      <alignment horizontal="center" vertical="top"/>
    </xf>
    <xf numFmtId="0" fontId="14" fillId="0" borderId="2" xfId="0" applyFont="1" applyBorder="1"/>
    <xf numFmtId="0" fontId="14" fillId="0" borderId="0" xfId="0" applyFont="1"/>
    <xf numFmtId="0" fontId="15" fillId="0" borderId="2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12" fillId="0" borderId="0" xfId="0" applyFont="1" applyAlignment="1">
      <alignment vertical="top"/>
    </xf>
    <xf numFmtId="15" fontId="8" fillId="0" borderId="0" xfId="0" applyNumberFormat="1" applyFont="1" applyAlignment="1">
      <alignment horizontal="center" vertical="top"/>
    </xf>
    <xf numFmtId="0" fontId="18" fillId="0" borderId="0" xfId="0" applyFont="1"/>
    <xf numFmtId="0" fontId="20" fillId="0" borderId="0" xfId="0" applyFont="1" applyAlignment="1">
      <alignment horizontal="center" vertical="top"/>
    </xf>
    <xf numFmtId="0" fontId="19" fillId="0" borderId="5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43" fontId="3" fillId="0" borderId="2" xfId="1" applyFont="1" applyBorder="1" applyAlignment="1">
      <alignment horizontal="center" vertical="top" wrapText="1"/>
    </xf>
    <xf numFmtId="0" fontId="3" fillId="0" borderId="0" xfId="0" applyFont="1"/>
    <xf numFmtId="0" fontId="18" fillId="0" borderId="2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 wrapText="1"/>
    </xf>
    <xf numFmtId="43" fontId="18" fillId="0" borderId="2" xfId="1" applyFont="1" applyBorder="1" applyAlignment="1">
      <alignment horizontal="center" vertical="top" wrapText="1"/>
    </xf>
    <xf numFmtId="0" fontId="18" fillId="0" borderId="2" xfId="3" applyFont="1" applyBorder="1" applyAlignment="1">
      <alignment horizontal="center" vertical="top" wrapText="1"/>
    </xf>
    <xf numFmtId="0" fontId="18" fillId="0" borderId="2" xfId="3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18" fillId="0" borderId="0" xfId="3" applyFont="1" applyAlignment="1">
      <alignment horizontal="center" vertical="top"/>
    </xf>
    <xf numFmtId="43" fontId="18" fillId="0" borderId="0" xfId="1" applyFont="1" applyBorder="1" applyAlignment="1">
      <alignment horizontal="center" vertical="top" wrapText="1"/>
    </xf>
    <xf numFmtId="0" fontId="18" fillId="0" borderId="0" xfId="3" applyFont="1" applyAlignment="1">
      <alignment horizontal="center" vertical="top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3" fontId="18" fillId="0" borderId="0" xfId="1" applyFont="1" applyAlignment="1">
      <alignment horizontal="center" wrapText="1"/>
    </xf>
    <xf numFmtId="0" fontId="19" fillId="0" borderId="2" xfId="0" applyFont="1" applyBorder="1" applyAlignment="1">
      <alignment horizontal="center" vertical="top"/>
    </xf>
    <xf numFmtId="0" fontId="24" fillId="0" borderId="2" xfId="0" applyFont="1" applyBorder="1" applyAlignment="1">
      <alignment horizontal="center" vertical="top"/>
    </xf>
    <xf numFmtId="0" fontId="24" fillId="0" borderId="2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center" vertical="top"/>
    </xf>
    <xf numFmtId="0" fontId="27" fillId="0" borderId="2" xfId="0" applyFont="1" applyBorder="1" applyAlignment="1">
      <alignment horizontal="center" vertical="top"/>
    </xf>
    <xf numFmtId="15" fontId="25" fillId="0" borderId="2" xfId="0" applyNumberFormat="1" applyFont="1" applyBorder="1" applyAlignment="1">
      <alignment horizontal="center" vertical="top"/>
    </xf>
    <xf numFmtId="15" fontId="24" fillId="0" borderId="2" xfId="0" applyNumberFormat="1" applyFont="1" applyBorder="1" applyAlignment="1">
      <alignment horizontal="center" vertical="top"/>
    </xf>
    <xf numFmtId="43" fontId="25" fillId="0" borderId="2" xfId="1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textRotation="90" wrapText="1"/>
    </xf>
    <xf numFmtId="0" fontId="19" fillId="0" borderId="5" xfId="0" applyFont="1" applyBorder="1" applyAlignment="1">
      <alignment horizontal="center" vertical="top" textRotation="90" wrapText="1"/>
    </xf>
    <xf numFmtId="0" fontId="19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19" fillId="0" borderId="5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/>
    </xf>
    <xf numFmtId="0" fontId="19" fillId="0" borderId="4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  <xf numFmtId="0" fontId="19" fillId="0" borderId="17" xfId="0" applyFont="1" applyBorder="1" applyAlignment="1">
      <alignment horizontal="center" vertical="top"/>
    </xf>
    <xf numFmtId="0" fontId="19" fillId="0" borderId="8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textRotation="90"/>
    </xf>
    <xf numFmtId="0" fontId="5" fillId="0" borderId="5" xfId="0" applyFont="1" applyBorder="1" applyAlignment="1">
      <alignment horizontal="center" vertical="top" textRotation="90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shrinkToFit="1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 textRotation="90"/>
    </xf>
    <xf numFmtId="0" fontId="5" fillId="0" borderId="1" xfId="0" applyFont="1" applyBorder="1" applyAlignment="1">
      <alignment horizontal="center" vertical="top" wrapText="1" shrinkToFit="1"/>
    </xf>
    <xf numFmtId="0" fontId="5" fillId="0" borderId="5" xfId="0" applyFont="1" applyBorder="1" applyAlignment="1">
      <alignment horizontal="center" vertical="top" wrapText="1" shrinkToFit="1"/>
    </xf>
    <xf numFmtId="0" fontId="10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 shrinkToFit="1"/>
    </xf>
    <xf numFmtId="0" fontId="5" fillId="0" borderId="8" xfId="0" applyFont="1" applyBorder="1" applyAlignment="1">
      <alignment horizontal="center" vertical="top" wrapText="1" shrinkToFit="1"/>
    </xf>
    <xf numFmtId="0" fontId="5" fillId="0" borderId="12" xfId="0" applyFont="1" applyBorder="1" applyAlignment="1">
      <alignment horizontal="center" vertical="top" wrapText="1" shrinkToFit="1"/>
    </xf>
    <xf numFmtId="0" fontId="5" fillId="0" borderId="13" xfId="0" applyFont="1" applyBorder="1" applyAlignment="1">
      <alignment horizontal="center" vertical="top" wrapText="1" shrinkToFit="1"/>
    </xf>
    <xf numFmtId="43" fontId="5" fillId="0" borderId="1" xfId="1" applyFont="1" applyBorder="1" applyAlignment="1">
      <alignment horizontal="center" vertical="top" wrapText="1" shrinkToFit="1"/>
    </xf>
    <xf numFmtId="43" fontId="5" fillId="0" borderId="11" xfId="1" applyFont="1" applyBorder="1" applyAlignment="1">
      <alignment horizontal="center" vertical="top" wrapText="1" shrinkToFit="1"/>
    </xf>
    <xf numFmtId="43" fontId="5" fillId="0" borderId="5" xfId="1" applyFont="1" applyBorder="1" applyAlignment="1">
      <alignment horizontal="center" vertical="top" wrapText="1" shrinkToFit="1"/>
    </xf>
    <xf numFmtId="0" fontId="2" fillId="0" borderId="6" xfId="0" applyFont="1" applyBorder="1" applyAlignment="1">
      <alignment horizontal="center" vertical="top" wrapText="1" shrinkToFit="1"/>
    </xf>
    <xf numFmtId="0" fontId="5" fillId="0" borderId="7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 shrinkToFit="1"/>
    </xf>
    <xf numFmtId="0" fontId="5" fillId="0" borderId="10" xfId="0" applyFont="1" applyBorder="1" applyAlignment="1">
      <alignment horizontal="center" vertical="top" wrapText="1" shrinkToFit="1"/>
    </xf>
    <xf numFmtId="0" fontId="5" fillId="0" borderId="11" xfId="0" applyFont="1" applyBorder="1" applyAlignment="1">
      <alignment horizontal="center" vertical="top" wrapText="1" shrinkToFit="1"/>
    </xf>
    <xf numFmtId="0" fontId="5" fillId="0" borderId="3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188" fontId="5" fillId="0" borderId="1" xfId="2" applyNumberFormat="1" applyFont="1" applyBorder="1" applyAlignment="1">
      <alignment horizontal="center" vertical="top" wrapText="1" shrinkToFit="1"/>
    </xf>
    <xf numFmtId="188" fontId="5" fillId="0" borderId="11" xfId="2" applyNumberFormat="1" applyFont="1" applyBorder="1" applyAlignment="1">
      <alignment horizontal="center" vertical="top" wrapText="1" shrinkToFit="1"/>
    </xf>
    <xf numFmtId="188" fontId="5" fillId="0" borderId="5" xfId="2" applyNumberFormat="1" applyFont="1" applyBorder="1" applyAlignment="1">
      <alignment horizontal="center" vertical="top" wrapText="1" shrinkToFit="1"/>
    </xf>
    <xf numFmtId="0" fontId="2" fillId="0" borderId="2" xfId="0" applyFont="1" applyBorder="1" applyAlignment="1">
      <alignment horizontal="center" vertical="top" textRotation="90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1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19" fillId="0" borderId="1" xfId="3" applyFont="1" applyBorder="1" applyAlignment="1">
      <alignment horizontal="center" vertical="top" wrapText="1"/>
    </xf>
    <xf numFmtId="0" fontId="19" fillId="0" borderId="5" xfId="3" applyFont="1" applyBorder="1" applyAlignment="1">
      <alignment horizontal="center" vertical="top" wrapText="1"/>
    </xf>
    <xf numFmtId="0" fontId="17" fillId="0" borderId="0" xfId="3" applyFont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top"/>
    </xf>
    <xf numFmtId="0" fontId="19" fillId="0" borderId="5" xfId="3" applyFont="1" applyBorder="1" applyAlignment="1">
      <alignment horizontal="center" vertical="top"/>
    </xf>
    <xf numFmtId="43" fontId="19" fillId="0" borderId="1" xfId="1" applyFont="1" applyBorder="1" applyAlignment="1">
      <alignment horizontal="center" vertical="top" wrapText="1"/>
    </xf>
    <xf numFmtId="43" fontId="19" fillId="0" borderId="5" xfId="1" applyFont="1" applyBorder="1" applyAlignment="1">
      <alignment horizontal="center" vertical="top" wrapText="1"/>
    </xf>
    <xf numFmtId="0" fontId="19" fillId="0" borderId="3" xfId="3" applyFont="1" applyBorder="1" applyAlignment="1">
      <alignment horizontal="center" vertical="top" wrapText="1"/>
    </xf>
    <xf numFmtId="0" fontId="19" fillId="0" borderId="4" xfId="3" applyFont="1" applyBorder="1" applyAlignment="1">
      <alignment horizontal="center" vertical="top" wrapText="1"/>
    </xf>
  </cellXfs>
  <cellStyles count="4">
    <cellStyle name="Comma 2" xfId="2" xr:uid="{35BA05EF-0F66-4EDC-9E05-FEB15444791C}"/>
    <cellStyle name="จุลภาค" xfId="1" builtinId="3"/>
    <cellStyle name="ปกติ" xfId="0" builtinId="0"/>
    <cellStyle name="ปกติ 2" xfId="3" xr:uid="{A5579632-A2DC-4CE6-8F8E-F6039B96F1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DC50-5316-4C77-A76F-54CCC7C089E1}">
  <dimension ref="A1:T7"/>
  <sheetViews>
    <sheetView tabSelected="1" topLeftCell="A3" zoomScale="110" zoomScaleNormal="110" workbookViewId="0">
      <selection activeCell="E3" sqref="E3:E4"/>
    </sheetView>
  </sheetViews>
  <sheetFormatPr defaultRowHeight="17.25" x14ac:dyDescent="0.4"/>
  <cols>
    <col min="1" max="1" width="5.25" style="1" customWidth="1"/>
    <col min="2" max="2" width="8.125" style="1" customWidth="1"/>
    <col min="3" max="3" width="25.5" style="1" customWidth="1"/>
    <col min="4" max="4" width="19.875" style="1" customWidth="1"/>
    <col min="5" max="5" width="21.125" style="1" customWidth="1"/>
    <col min="6" max="6" width="15" style="1" customWidth="1"/>
    <col min="7" max="7" width="7.375" style="1" customWidth="1"/>
    <col min="8" max="8" width="7.125" style="1" customWidth="1"/>
    <col min="9" max="9" width="7.625" style="1" customWidth="1"/>
    <col min="10" max="10" width="7.5" style="1" customWidth="1"/>
    <col min="11" max="11" width="9.75" style="1" customWidth="1"/>
    <col min="12" max="12" width="12" style="1" customWidth="1"/>
    <col min="13" max="13" width="15.5" style="1" customWidth="1"/>
    <col min="14" max="14" width="10.5" style="1" customWidth="1"/>
    <col min="15" max="15" width="10.75" style="1" customWidth="1"/>
    <col min="16" max="16" width="9.875" style="1" customWidth="1"/>
    <col min="17" max="17" width="9.125" style="1" customWidth="1"/>
    <col min="18" max="19" width="9" style="1" customWidth="1"/>
    <col min="20" max="20" width="5.125" style="1" customWidth="1"/>
    <col min="21" max="16384" width="9" style="1"/>
  </cols>
  <sheetData>
    <row r="1" spans="1:20" ht="24" x14ac:dyDescent="0.55000000000000004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</row>
    <row r="2" spans="1:20" ht="24" x14ac:dyDescent="0.4">
      <c r="A2" s="133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</row>
    <row r="3" spans="1:20" s="4" customFormat="1" ht="18.75" customHeight="1" x14ac:dyDescent="0.2">
      <c r="A3" s="129" t="s">
        <v>2</v>
      </c>
      <c r="B3" s="128" t="s">
        <v>3</v>
      </c>
      <c r="C3" s="127" t="s">
        <v>4</v>
      </c>
      <c r="D3" s="127" t="s">
        <v>5</v>
      </c>
      <c r="E3" s="135" t="s">
        <v>6</v>
      </c>
      <c r="F3" s="128" t="s">
        <v>7</v>
      </c>
      <c r="G3" s="127" t="s">
        <v>8</v>
      </c>
      <c r="H3" s="127"/>
      <c r="I3" s="125" t="s">
        <v>9</v>
      </c>
      <c r="J3" s="126"/>
      <c r="K3" s="125" t="s">
        <v>10</v>
      </c>
      <c r="L3" s="126"/>
      <c r="M3" s="127" t="s">
        <v>11</v>
      </c>
      <c r="N3" s="128" t="s">
        <v>12</v>
      </c>
      <c r="O3" s="128" t="s">
        <v>13</v>
      </c>
      <c r="P3" s="127" t="s">
        <v>14</v>
      </c>
      <c r="Q3" s="127"/>
      <c r="R3" s="127"/>
      <c r="S3" s="129" t="s">
        <v>15</v>
      </c>
      <c r="T3" s="123" t="s">
        <v>16</v>
      </c>
    </row>
    <row r="4" spans="1:20" s="4" customFormat="1" ht="113.25" customHeight="1" x14ac:dyDescent="0.2">
      <c r="A4" s="134"/>
      <c r="B4" s="128"/>
      <c r="C4" s="127"/>
      <c r="D4" s="127"/>
      <c r="E4" s="130"/>
      <c r="F4" s="127"/>
      <c r="G4" s="5" t="s">
        <v>17</v>
      </c>
      <c r="H4" s="5" t="s">
        <v>18</v>
      </c>
      <c r="I4" s="5" t="s">
        <v>19</v>
      </c>
      <c r="J4" s="5" t="s">
        <v>20</v>
      </c>
      <c r="K4" s="3" t="s">
        <v>21</v>
      </c>
      <c r="L4" s="3" t="s">
        <v>22</v>
      </c>
      <c r="M4" s="127"/>
      <c r="N4" s="128"/>
      <c r="O4" s="128"/>
      <c r="P4" s="2" t="s">
        <v>23</v>
      </c>
      <c r="Q4" s="2" t="s">
        <v>24</v>
      </c>
      <c r="R4" s="2" t="s">
        <v>25</v>
      </c>
      <c r="S4" s="130"/>
      <c r="T4" s="124"/>
    </row>
    <row r="5" spans="1:20" s="4" customFormat="1" ht="113.25" customHeight="1" x14ac:dyDescent="0.2">
      <c r="A5" s="6">
        <v>1</v>
      </c>
      <c r="B5" s="2"/>
      <c r="C5" s="6" t="s">
        <v>26</v>
      </c>
      <c r="D5" s="7" t="s">
        <v>27</v>
      </c>
      <c r="E5" s="6" t="s">
        <v>28</v>
      </c>
      <c r="F5" s="6" t="s">
        <v>29</v>
      </c>
      <c r="G5" s="6" t="s">
        <v>30</v>
      </c>
      <c r="H5" s="6" t="s">
        <v>30</v>
      </c>
      <c r="I5" s="6" t="s">
        <v>30</v>
      </c>
      <c r="J5" s="6" t="s">
        <v>30</v>
      </c>
      <c r="K5" s="7" t="s">
        <v>30</v>
      </c>
      <c r="L5" s="8">
        <v>14000000</v>
      </c>
      <c r="M5" s="6" t="s">
        <v>31</v>
      </c>
      <c r="N5" s="9">
        <v>244289</v>
      </c>
      <c r="O5" s="9">
        <v>244654</v>
      </c>
      <c r="P5" s="6" t="s">
        <v>30</v>
      </c>
      <c r="Q5" s="6" t="s">
        <v>30</v>
      </c>
      <c r="R5" s="6" t="s">
        <v>30</v>
      </c>
      <c r="S5" s="7" t="s">
        <v>30</v>
      </c>
      <c r="T5" s="10"/>
    </row>
    <row r="6" spans="1:20" s="17" customFormat="1" ht="87" x14ac:dyDescent="0.2">
      <c r="A6" s="11">
        <v>2</v>
      </c>
      <c r="B6" s="12"/>
      <c r="C6" s="13" t="s">
        <v>32</v>
      </c>
      <c r="D6" s="11" t="s">
        <v>33</v>
      </c>
      <c r="E6" s="13" t="s">
        <v>34</v>
      </c>
      <c r="F6" s="13" t="s">
        <v>35</v>
      </c>
      <c r="G6" s="11" t="s">
        <v>30</v>
      </c>
      <c r="H6" s="11" t="s">
        <v>30</v>
      </c>
      <c r="I6" s="11" t="s">
        <v>30</v>
      </c>
      <c r="J6" s="11" t="s">
        <v>30</v>
      </c>
      <c r="K6" s="8" t="s">
        <v>30</v>
      </c>
      <c r="L6" s="8">
        <v>600000</v>
      </c>
      <c r="M6" s="6" t="s">
        <v>31</v>
      </c>
      <c r="N6" s="14">
        <v>46082</v>
      </c>
      <c r="O6" s="15">
        <v>46813</v>
      </c>
      <c r="P6" s="13" t="s">
        <v>30</v>
      </c>
      <c r="Q6" s="13" t="s">
        <v>30</v>
      </c>
      <c r="R6" s="13" t="s">
        <v>30</v>
      </c>
      <c r="S6" s="13" t="s">
        <v>30</v>
      </c>
      <c r="T6" s="16"/>
    </row>
    <row r="7" spans="1:20" s="19" customFormat="1" ht="21.75" x14ac:dyDescent="0.5">
      <c r="A7" s="18"/>
      <c r="C7" s="20"/>
      <c r="D7" s="18"/>
      <c r="E7" s="20"/>
      <c r="F7" s="20"/>
      <c r="G7" s="18"/>
      <c r="H7" s="18"/>
      <c r="I7" s="18"/>
      <c r="J7" s="18"/>
      <c r="K7" s="18"/>
      <c r="L7" s="21"/>
      <c r="M7" s="20"/>
      <c r="N7" s="22"/>
      <c r="O7" s="22"/>
      <c r="P7" s="18"/>
      <c r="Q7" s="18"/>
      <c r="R7" s="18"/>
      <c r="S7" s="18"/>
    </row>
  </sheetData>
  <mergeCells count="17">
    <mergeCell ref="A1:T1"/>
    <mergeCell ref="A2:T2"/>
    <mergeCell ref="A3:A4"/>
    <mergeCell ref="B3:B4"/>
    <mergeCell ref="C3:C4"/>
    <mergeCell ref="D3:D4"/>
    <mergeCell ref="E3:E4"/>
    <mergeCell ref="F3:F4"/>
    <mergeCell ref="G3:H3"/>
    <mergeCell ref="I3:J3"/>
    <mergeCell ref="T3:T4"/>
    <mergeCell ref="K3:L3"/>
    <mergeCell ref="M3:M4"/>
    <mergeCell ref="N3:N4"/>
    <mergeCell ref="O3:O4"/>
    <mergeCell ref="P3:R3"/>
    <mergeCell ref="S3:S4"/>
  </mergeCells>
  <pageMargins left="0.23622047244094491" right="0" top="0.31496062992125984" bottom="0" header="0.51181102362204722" footer="0"/>
  <pageSetup paperSize="9" scale="6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34EE-FDF5-4FEF-8CCC-773534D072E8}">
  <dimension ref="A1:X11"/>
  <sheetViews>
    <sheetView zoomScale="90" zoomScaleNormal="90" workbookViewId="0">
      <selection activeCell="C3" sqref="C3:C5"/>
    </sheetView>
  </sheetViews>
  <sheetFormatPr defaultColWidth="9" defaultRowHeight="24" x14ac:dyDescent="0.55000000000000004"/>
  <cols>
    <col min="1" max="1" width="4.875" style="23" customWidth="1"/>
    <col min="2" max="2" width="23.375" style="23" customWidth="1"/>
    <col min="3" max="3" width="20.125" style="45" customWidth="1"/>
    <col min="4" max="4" width="6.375" style="45" customWidth="1"/>
    <col min="5" max="5" width="7.375" style="45" customWidth="1"/>
    <col min="6" max="6" width="15.25" style="46" customWidth="1"/>
    <col min="7" max="7" width="10.75" style="47" customWidth="1"/>
    <col min="8" max="8" width="13.625" style="47" customWidth="1"/>
    <col min="9" max="9" width="12.5" style="23" customWidth="1"/>
    <col min="10" max="10" width="5.875" style="23" customWidth="1"/>
    <col min="11" max="12" width="5.125" style="23" customWidth="1"/>
    <col min="13" max="13" width="4.375" style="23" customWidth="1"/>
    <col min="14" max="14" width="9.125" style="23" customWidth="1"/>
    <col min="15" max="15" width="9.625" style="23" customWidth="1"/>
    <col min="16" max="17" width="8.625" style="23" customWidth="1"/>
    <col min="18" max="18" width="9.75" style="23" customWidth="1"/>
    <col min="19" max="19" width="8.875" style="23" customWidth="1"/>
    <col min="20" max="20" width="8" style="23" customWidth="1"/>
    <col min="21" max="21" width="8.625" style="45" customWidth="1"/>
    <col min="22" max="22" width="10.625" style="23" customWidth="1"/>
    <col min="23" max="23" width="9.125" style="48" customWidth="1"/>
    <col min="24" max="24" width="7.75" style="23" customWidth="1"/>
    <col min="25" max="25" width="10.375" style="23" bestFit="1" customWidth="1"/>
    <col min="26" max="16384" width="9" style="23"/>
  </cols>
  <sheetData>
    <row r="1" spans="1:24" x14ac:dyDescent="0.55000000000000004">
      <c r="A1" s="131" t="s">
        <v>36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</row>
    <row r="2" spans="1:24" ht="24.75" customHeight="1" x14ac:dyDescent="0.55000000000000004">
      <c r="A2" s="150" t="s">
        <v>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</row>
    <row r="3" spans="1:24" s="25" customFormat="1" ht="24.75" customHeight="1" x14ac:dyDescent="0.2">
      <c r="A3" s="151" t="s">
        <v>2</v>
      </c>
      <c r="B3" s="154" t="s">
        <v>4</v>
      </c>
      <c r="C3" s="144" t="s">
        <v>5</v>
      </c>
      <c r="D3" s="143" t="s">
        <v>37</v>
      </c>
      <c r="E3" s="144"/>
      <c r="F3" s="137" t="s">
        <v>38</v>
      </c>
      <c r="G3" s="157" t="s">
        <v>39</v>
      </c>
      <c r="H3" s="158"/>
      <c r="I3" s="159" t="s">
        <v>10</v>
      </c>
      <c r="J3" s="127" t="s">
        <v>40</v>
      </c>
      <c r="K3" s="127"/>
      <c r="L3" s="127"/>
      <c r="M3" s="127"/>
      <c r="N3" s="125" t="s">
        <v>41</v>
      </c>
      <c r="O3" s="126"/>
      <c r="P3" s="125" t="s">
        <v>9</v>
      </c>
      <c r="Q3" s="126"/>
      <c r="R3" s="143" t="s">
        <v>42</v>
      </c>
      <c r="S3" s="144"/>
      <c r="T3" s="143" t="s">
        <v>43</v>
      </c>
      <c r="U3" s="144"/>
      <c r="V3" s="128" t="s">
        <v>44</v>
      </c>
      <c r="W3" s="147" t="s">
        <v>16</v>
      </c>
      <c r="X3" s="123" t="s">
        <v>45</v>
      </c>
    </row>
    <row r="4" spans="1:24" s="25" customFormat="1" ht="36" customHeight="1" x14ac:dyDescent="0.2">
      <c r="A4" s="152"/>
      <c r="B4" s="154"/>
      <c r="C4" s="155"/>
      <c r="D4" s="137" t="s">
        <v>21</v>
      </c>
      <c r="E4" s="137" t="s">
        <v>22</v>
      </c>
      <c r="F4" s="156"/>
      <c r="G4" s="137" t="s">
        <v>46</v>
      </c>
      <c r="H4" s="137" t="s">
        <v>47</v>
      </c>
      <c r="I4" s="160"/>
      <c r="J4" s="139" t="s">
        <v>48</v>
      </c>
      <c r="K4" s="139" t="s">
        <v>49</v>
      </c>
      <c r="L4" s="139" t="s">
        <v>50</v>
      </c>
      <c r="M4" s="139" t="s">
        <v>51</v>
      </c>
      <c r="N4" s="141" t="s">
        <v>52</v>
      </c>
      <c r="O4" s="141" t="s">
        <v>53</v>
      </c>
      <c r="P4" s="141" t="s">
        <v>54</v>
      </c>
      <c r="Q4" s="141" t="s">
        <v>55</v>
      </c>
      <c r="R4" s="145"/>
      <c r="S4" s="146"/>
      <c r="T4" s="145"/>
      <c r="U4" s="146"/>
      <c r="V4" s="128"/>
      <c r="W4" s="148"/>
      <c r="X4" s="136"/>
    </row>
    <row r="5" spans="1:24" s="25" customFormat="1" ht="66.75" customHeight="1" x14ac:dyDescent="0.2">
      <c r="A5" s="153"/>
      <c r="B5" s="154"/>
      <c r="C5" s="146"/>
      <c r="D5" s="138"/>
      <c r="E5" s="138"/>
      <c r="F5" s="138"/>
      <c r="G5" s="138"/>
      <c r="H5" s="138"/>
      <c r="I5" s="161"/>
      <c r="J5" s="140"/>
      <c r="K5" s="140"/>
      <c r="L5" s="140"/>
      <c r="M5" s="140"/>
      <c r="N5" s="142"/>
      <c r="O5" s="142"/>
      <c r="P5" s="142"/>
      <c r="Q5" s="142"/>
      <c r="R5" s="24" t="s">
        <v>56</v>
      </c>
      <c r="S5" s="24" t="s">
        <v>57</v>
      </c>
      <c r="T5" s="24" t="s">
        <v>56</v>
      </c>
      <c r="U5" s="24" t="s">
        <v>57</v>
      </c>
      <c r="V5" s="128"/>
      <c r="W5" s="149"/>
      <c r="X5" s="124"/>
    </row>
    <row r="6" spans="1:24" s="17" customFormat="1" ht="87" x14ac:dyDescent="0.2">
      <c r="A6" s="11">
        <v>1</v>
      </c>
      <c r="B6" s="13" t="s">
        <v>58</v>
      </c>
      <c r="C6" s="11" t="s">
        <v>59</v>
      </c>
      <c r="D6" s="11">
        <v>4</v>
      </c>
      <c r="E6" s="11" t="s">
        <v>30</v>
      </c>
      <c r="F6" s="13" t="s">
        <v>29</v>
      </c>
      <c r="G6" s="11" t="s">
        <v>30</v>
      </c>
      <c r="H6" s="13" t="s">
        <v>60</v>
      </c>
      <c r="I6" s="26">
        <v>19600023</v>
      </c>
      <c r="J6" s="27">
        <f>I6*15%</f>
        <v>2940003.4499999997</v>
      </c>
      <c r="K6" s="27">
        <f t="shared" ref="K6:K9" si="0">J6/3</f>
        <v>980001.14999999991</v>
      </c>
      <c r="L6" s="27">
        <f t="shared" ref="L6:L9" si="1">J6/3</f>
        <v>980001.14999999991</v>
      </c>
      <c r="M6" s="27">
        <f t="shared" ref="M6:M9" si="2">J6/3</f>
        <v>980001.14999999991</v>
      </c>
      <c r="N6" s="13" t="s">
        <v>30</v>
      </c>
      <c r="O6" s="11" t="s">
        <v>30</v>
      </c>
      <c r="P6" s="11" t="s">
        <v>30</v>
      </c>
      <c r="Q6" s="11" t="s">
        <v>30</v>
      </c>
      <c r="R6" s="28">
        <v>25154</v>
      </c>
      <c r="S6" s="28">
        <v>25749</v>
      </c>
      <c r="T6" s="28" t="s">
        <v>30</v>
      </c>
      <c r="U6" s="28" t="s">
        <v>30</v>
      </c>
      <c r="V6" s="11" t="s">
        <v>61</v>
      </c>
      <c r="W6" s="29"/>
      <c r="X6" s="16"/>
    </row>
    <row r="7" spans="1:24" s="19" customFormat="1" ht="108.75" x14ac:dyDescent="0.5">
      <c r="A7" s="11">
        <v>2</v>
      </c>
      <c r="B7" s="13" t="s">
        <v>62</v>
      </c>
      <c r="C7" s="11" t="s">
        <v>59</v>
      </c>
      <c r="D7" s="11" t="s">
        <v>30</v>
      </c>
      <c r="E7" s="11">
        <v>9</v>
      </c>
      <c r="F7" s="13" t="s">
        <v>29</v>
      </c>
      <c r="G7" s="11" t="s">
        <v>30</v>
      </c>
      <c r="H7" s="13" t="s">
        <v>63</v>
      </c>
      <c r="I7" s="26">
        <v>21864368</v>
      </c>
      <c r="J7" s="27">
        <f>I7*15%</f>
        <v>3279655.1999999997</v>
      </c>
      <c r="K7" s="27">
        <f t="shared" si="0"/>
        <v>1093218.3999999999</v>
      </c>
      <c r="L7" s="27">
        <f t="shared" si="1"/>
        <v>1093218.3999999999</v>
      </c>
      <c r="M7" s="27">
        <f t="shared" si="2"/>
        <v>1093218.3999999999</v>
      </c>
      <c r="N7" s="13" t="s">
        <v>30</v>
      </c>
      <c r="O7" s="11" t="s">
        <v>30</v>
      </c>
      <c r="P7" s="11" t="s">
        <v>30</v>
      </c>
      <c r="Q7" s="11" t="s">
        <v>30</v>
      </c>
      <c r="R7" s="28">
        <v>25222</v>
      </c>
      <c r="S7" s="28">
        <v>25932</v>
      </c>
      <c r="T7" s="28" t="s">
        <v>30</v>
      </c>
      <c r="U7" s="28" t="s">
        <v>30</v>
      </c>
      <c r="V7" s="11" t="s">
        <v>64</v>
      </c>
      <c r="W7" s="30"/>
      <c r="X7" s="16"/>
    </row>
    <row r="8" spans="1:24" s="19" customFormat="1" ht="138" customHeight="1" x14ac:dyDescent="0.5">
      <c r="A8" s="11">
        <v>3</v>
      </c>
      <c r="B8" s="13" t="s">
        <v>65</v>
      </c>
      <c r="C8" s="11" t="s">
        <v>66</v>
      </c>
      <c r="D8" s="11">
        <v>12</v>
      </c>
      <c r="E8" s="11">
        <v>3</v>
      </c>
      <c r="F8" s="13" t="s">
        <v>29</v>
      </c>
      <c r="G8" s="11" t="s">
        <v>30</v>
      </c>
      <c r="H8" s="31" t="s">
        <v>67</v>
      </c>
      <c r="I8" s="32">
        <v>8499528</v>
      </c>
      <c r="J8" s="27">
        <f t="shared" ref="J8" si="3">I8*15%</f>
        <v>1274929.2</v>
      </c>
      <c r="K8" s="27">
        <f t="shared" si="0"/>
        <v>424976.39999999997</v>
      </c>
      <c r="L8" s="27">
        <f t="shared" si="1"/>
        <v>424976.39999999997</v>
      </c>
      <c r="M8" s="27">
        <f t="shared" si="2"/>
        <v>424976.39999999997</v>
      </c>
      <c r="N8" s="13" t="s">
        <v>30</v>
      </c>
      <c r="O8" s="11" t="s">
        <v>30</v>
      </c>
      <c r="P8" s="11" t="s">
        <v>30</v>
      </c>
      <c r="Q8" s="11" t="s">
        <v>30</v>
      </c>
      <c r="R8" s="28">
        <v>25197</v>
      </c>
      <c r="S8" s="28">
        <v>25567</v>
      </c>
      <c r="T8" s="28" t="s">
        <v>30</v>
      </c>
      <c r="U8" s="28" t="s">
        <v>30</v>
      </c>
      <c r="V8" s="11" t="s">
        <v>68</v>
      </c>
      <c r="W8" s="30"/>
      <c r="X8" s="33"/>
    </row>
    <row r="9" spans="1:24" s="19" customFormat="1" ht="174" x14ac:dyDescent="0.5">
      <c r="A9" s="34">
        <v>4</v>
      </c>
      <c r="B9" s="35" t="s">
        <v>69</v>
      </c>
      <c r="C9" s="34" t="s">
        <v>59</v>
      </c>
      <c r="D9" s="34">
        <v>8</v>
      </c>
      <c r="E9" s="34">
        <v>3</v>
      </c>
      <c r="F9" s="35" t="s">
        <v>29</v>
      </c>
      <c r="G9" s="34" t="s">
        <v>30</v>
      </c>
      <c r="H9" s="36" t="s">
        <v>70</v>
      </c>
      <c r="I9" s="37">
        <v>15043000</v>
      </c>
      <c r="J9" s="38">
        <f>(I9-W9)*15%</f>
        <v>825000</v>
      </c>
      <c r="K9" s="38">
        <f t="shared" si="0"/>
        <v>275000</v>
      </c>
      <c r="L9" s="38">
        <f t="shared" si="1"/>
        <v>275000</v>
      </c>
      <c r="M9" s="38">
        <f t="shared" si="2"/>
        <v>275000</v>
      </c>
      <c r="N9" s="35" t="s">
        <v>71</v>
      </c>
      <c r="O9" s="34" t="s">
        <v>30</v>
      </c>
      <c r="P9" s="34" t="s">
        <v>30</v>
      </c>
      <c r="Q9" s="34" t="s">
        <v>30</v>
      </c>
      <c r="R9" s="39">
        <v>25235</v>
      </c>
      <c r="S9" s="39">
        <v>25984</v>
      </c>
      <c r="T9" s="39">
        <v>25509</v>
      </c>
      <c r="U9" s="39">
        <v>25658</v>
      </c>
      <c r="V9" s="34" t="s">
        <v>72</v>
      </c>
      <c r="W9" s="40">
        <v>9543000</v>
      </c>
      <c r="X9" s="41" t="s">
        <v>73</v>
      </c>
    </row>
    <row r="10" spans="1:24" s="19" customFormat="1" ht="273" customHeight="1" x14ac:dyDescent="0.5">
      <c r="A10" s="11">
        <v>5</v>
      </c>
      <c r="B10" s="13" t="s">
        <v>74</v>
      </c>
      <c r="C10" s="11" t="s">
        <v>27</v>
      </c>
      <c r="D10" s="11">
        <v>10</v>
      </c>
      <c r="E10" s="11" t="s">
        <v>30</v>
      </c>
      <c r="F10" s="13" t="s">
        <v>29</v>
      </c>
      <c r="G10" s="11" t="s">
        <v>30</v>
      </c>
      <c r="H10" s="42" t="s">
        <v>75</v>
      </c>
      <c r="I10" s="43">
        <v>900000</v>
      </c>
      <c r="J10" s="27">
        <f>I10*15%</f>
        <v>135000</v>
      </c>
      <c r="K10" s="27">
        <f>J10/3</f>
        <v>45000</v>
      </c>
      <c r="L10" s="27">
        <f>J10/3</f>
        <v>45000</v>
      </c>
      <c r="M10" s="27">
        <f>J10/3</f>
        <v>45000</v>
      </c>
      <c r="N10" s="13" t="s">
        <v>76</v>
      </c>
      <c r="O10" s="11"/>
      <c r="P10" s="11"/>
      <c r="Q10" s="11"/>
      <c r="R10" s="28">
        <v>25216</v>
      </c>
      <c r="S10" s="28">
        <v>25568</v>
      </c>
      <c r="T10" s="28">
        <v>25235</v>
      </c>
      <c r="U10" s="28">
        <v>25567</v>
      </c>
      <c r="V10" s="11" t="s">
        <v>77</v>
      </c>
      <c r="W10" s="29"/>
      <c r="X10" s="16"/>
    </row>
    <row r="11" spans="1:24" s="17" customFormat="1" ht="87" x14ac:dyDescent="0.2">
      <c r="A11" s="11">
        <v>6</v>
      </c>
      <c r="B11" s="13" t="s">
        <v>78</v>
      </c>
      <c r="C11" s="11" t="s">
        <v>27</v>
      </c>
      <c r="D11" s="11">
        <v>5</v>
      </c>
      <c r="E11" s="11" t="s">
        <v>30</v>
      </c>
      <c r="F11" s="13" t="s">
        <v>29</v>
      </c>
      <c r="G11" s="13" t="s">
        <v>30</v>
      </c>
      <c r="H11" s="13" t="s">
        <v>79</v>
      </c>
      <c r="I11" s="26">
        <v>1360000</v>
      </c>
      <c r="J11" s="44">
        <f t="shared" ref="J11" si="4">I11*15%</f>
        <v>204000</v>
      </c>
      <c r="K11" s="44">
        <f t="shared" ref="K11" si="5">J11/3</f>
        <v>68000</v>
      </c>
      <c r="L11" s="44">
        <f t="shared" ref="L11" si="6">J11/3</f>
        <v>68000</v>
      </c>
      <c r="M11" s="44">
        <f t="shared" ref="M11" si="7">J11/3</f>
        <v>68000</v>
      </c>
      <c r="N11" s="13" t="s">
        <v>30</v>
      </c>
      <c r="O11" s="11" t="s">
        <v>30</v>
      </c>
      <c r="P11" s="11" t="s">
        <v>30</v>
      </c>
      <c r="Q11" s="11" t="s">
        <v>30</v>
      </c>
      <c r="R11" s="28">
        <v>25121</v>
      </c>
      <c r="S11" s="28">
        <v>25507</v>
      </c>
      <c r="T11" s="28" t="s">
        <v>30</v>
      </c>
      <c r="U11" s="28" t="s">
        <v>30</v>
      </c>
      <c r="V11" s="11" t="s">
        <v>80</v>
      </c>
      <c r="W11" s="26"/>
      <c r="X11" s="16"/>
    </row>
  </sheetData>
  <mergeCells count="29"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M4:M5"/>
    <mergeCell ref="N4:N5"/>
    <mergeCell ref="N3:O3"/>
    <mergeCell ref="P3:Q3"/>
    <mergeCell ref="R3:S4"/>
    <mergeCell ref="T3:U4"/>
    <mergeCell ref="V3:V5"/>
    <mergeCell ref="W3:W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1E36-9264-40B2-A3A4-FD7380D63CBC}">
  <dimension ref="A1:AR49"/>
  <sheetViews>
    <sheetView topLeftCell="A30" zoomScaleNormal="100" workbookViewId="0">
      <selection activeCell="J3" sqref="J3:J4"/>
    </sheetView>
  </sheetViews>
  <sheetFormatPr defaultColWidth="9" defaultRowHeight="24" x14ac:dyDescent="0.55000000000000004"/>
  <cols>
    <col min="1" max="1" width="5.625" style="73" customWidth="1"/>
    <col min="2" max="2" width="22" style="74" customWidth="1"/>
    <col min="3" max="3" width="20.875" style="23" customWidth="1"/>
    <col min="4" max="4" width="4.125" style="25" customWidth="1"/>
    <col min="5" max="5" width="4" style="25" customWidth="1"/>
    <col min="6" max="6" width="4.125" style="25" customWidth="1"/>
    <col min="7" max="8" width="4" style="25" customWidth="1"/>
    <col min="9" max="9" width="3.625" style="25" customWidth="1"/>
    <col min="10" max="10" width="22.875" style="23" customWidth="1"/>
    <col min="11" max="11" width="16.625" style="23" customWidth="1"/>
    <col min="12" max="12" width="10.875" style="23" customWidth="1"/>
    <col min="13" max="13" width="3.75" style="23" customWidth="1"/>
    <col min="14" max="14" width="3.875" style="23" customWidth="1"/>
    <col min="15" max="15" width="3.75" style="23" customWidth="1"/>
    <col min="16" max="16384" width="9" style="23"/>
  </cols>
  <sheetData>
    <row r="1" spans="1:15" s="49" customFormat="1" x14ac:dyDescent="0.55000000000000004">
      <c r="A1" s="131" t="s">
        <v>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 x14ac:dyDescent="0.55000000000000004">
      <c r="A2" s="163" t="s">
        <v>82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</row>
    <row r="3" spans="1:15" ht="24" customHeight="1" x14ac:dyDescent="0.55000000000000004">
      <c r="A3" s="164" t="s">
        <v>2</v>
      </c>
      <c r="B3" s="164" t="s">
        <v>83</v>
      </c>
      <c r="C3" s="165" t="s">
        <v>84</v>
      </c>
      <c r="D3" s="166" t="s">
        <v>85</v>
      </c>
      <c r="E3" s="167"/>
      <c r="F3" s="167"/>
      <c r="G3" s="167"/>
      <c r="H3" s="167"/>
      <c r="I3" s="168"/>
      <c r="J3" s="165" t="s">
        <v>86</v>
      </c>
      <c r="K3" s="165" t="s">
        <v>87</v>
      </c>
      <c r="L3" s="165" t="s">
        <v>88</v>
      </c>
      <c r="M3" s="162" t="s">
        <v>89</v>
      </c>
      <c r="N3" s="162" t="s">
        <v>90</v>
      </c>
      <c r="O3" s="162" t="s">
        <v>16</v>
      </c>
    </row>
    <row r="4" spans="1:15" ht="125.25" customHeight="1" x14ac:dyDescent="0.55000000000000004">
      <c r="A4" s="165"/>
      <c r="B4" s="164"/>
      <c r="C4" s="165"/>
      <c r="D4" s="51" t="s">
        <v>91</v>
      </c>
      <c r="E4" s="51" t="s">
        <v>92</v>
      </c>
      <c r="F4" s="51" t="s">
        <v>93</v>
      </c>
      <c r="G4" s="51" t="s">
        <v>94</v>
      </c>
      <c r="H4" s="51" t="s">
        <v>95</v>
      </c>
      <c r="I4" s="51" t="s">
        <v>96</v>
      </c>
      <c r="J4" s="165"/>
      <c r="K4" s="165"/>
      <c r="L4" s="165"/>
      <c r="M4" s="162"/>
      <c r="N4" s="162"/>
      <c r="O4" s="162"/>
    </row>
    <row r="5" spans="1:15" ht="103.5" customHeight="1" x14ac:dyDescent="0.55000000000000004">
      <c r="A5" s="52">
        <v>1</v>
      </c>
      <c r="B5" s="53" t="s">
        <v>97</v>
      </c>
      <c r="C5" s="52" t="s">
        <v>98</v>
      </c>
      <c r="D5" s="51"/>
      <c r="E5" s="54" t="s">
        <v>99</v>
      </c>
      <c r="F5" s="54"/>
      <c r="G5" s="54"/>
      <c r="H5" s="51"/>
      <c r="I5" s="51"/>
      <c r="J5" s="53" t="s">
        <v>100</v>
      </c>
      <c r="K5" s="53" t="s">
        <v>101</v>
      </c>
      <c r="L5" s="55">
        <v>244368</v>
      </c>
      <c r="M5" s="50"/>
      <c r="N5" s="50"/>
      <c r="O5" s="50"/>
    </row>
    <row r="6" spans="1:15" ht="104.25" customHeight="1" x14ac:dyDescent="0.55000000000000004">
      <c r="A6" s="52">
        <v>2</v>
      </c>
      <c r="B6" s="53" t="s">
        <v>102</v>
      </c>
      <c r="C6" s="52" t="s">
        <v>98</v>
      </c>
      <c r="D6" s="51"/>
      <c r="E6" s="54" t="s">
        <v>99</v>
      </c>
      <c r="F6" s="54"/>
      <c r="G6" s="54"/>
      <c r="H6" s="51"/>
      <c r="I6" s="51"/>
      <c r="J6" s="56" t="s">
        <v>103</v>
      </c>
      <c r="K6" s="53" t="s">
        <v>101</v>
      </c>
      <c r="L6" s="55">
        <v>244369</v>
      </c>
      <c r="M6" s="50"/>
      <c r="N6" s="50"/>
      <c r="O6" s="50"/>
    </row>
    <row r="7" spans="1:15" ht="60" customHeight="1" x14ac:dyDescent="0.55000000000000004">
      <c r="A7" s="52">
        <v>3</v>
      </c>
      <c r="B7" s="53" t="s">
        <v>104</v>
      </c>
      <c r="C7" s="53" t="s">
        <v>105</v>
      </c>
      <c r="D7" s="51"/>
      <c r="E7" s="54"/>
      <c r="F7" s="54"/>
      <c r="G7" s="54" t="s">
        <v>99</v>
      </c>
      <c r="H7" s="51"/>
      <c r="I7" s="51"/>
      <c r="J7" s="53" t="s">
        <v>106</v>
      </c>
      <c r="K7" s="53" t="s">
        <v>101</v>
      </c>
      <c r="L7" s="57" t="s">
        <v>107</v>
      </c>
      <c r="M7" s="50"/>
      <c r="N7" s="50"/>
      <c r="O7" s="50"/>
    </row>
    <row r="8" spans="1:15" ht="74.25" customHeight="1" x14ac:dyDescent="0.55000000000000004">
      <c r="A8" s="52">
        <v>4</v>
      </c>
      <c r="B8" s="53" t="s">
        <v>108</v>
      </c>
      <c r="C8" s="53" t="s">
        <v>109</v>
      </c>
      <c r="D8" s="54"/>
      <c r="E8" s="58"/>
      <c r="F8" s="58"/>
      <c r="G8" s="54" t="s">
        <v>99</v>
      </c>
      <c r="H8" s="58"/>
      <c r="I8" s="58"/>
      <c r="J8" s="52" t="s">
        <v>110</v>
      </c>
      <c r="K8" s="53" t="s">
        <v>29</v>
      </c>
      <c r="L8" s="55">
        <v>25208</v>
      </c>
      <c r="M8" s="59"/>
      <c r="N8" s="59"/>
      <c r="O8" s="59"/>
    </row>
    <row r="9" spans="1:15" ht="48" customHeight="1" x14ac:dyDescent="0.55000000000000004">
      <c r="A9" s="52">
        <v>5</v>
      </c>
      <c r="B9" s="53" t="s">
        <v>104</v>
      </c>
      <c r="C9" s="53" t="s">
        <v>111</v>
      </c>
      <c r="D9" s="54"/>
      <c r="E9" s="58"/>
      <c r="F9" s="58"/>
      <c r="G9" s="54" t="s">
        <v>99</v>
      </c>
      <c r="H9" s="58"/>
      <c r="I9" s="58"/>
      <c r="J9" s="52" t="s">
        <v>110</v>
      </c>
      <c r="K9" s="53" t="s">
        <v>29</v>
      </c>
      <c r="L9" s="55">
        <v>25209</v>
      </c>
      <c r="M9" s="59"/>
      <c r="N9" s="59"/>
      <c r="O9" s="59"/>
    </row>
    <row r="10" spans="1:15" ht="72" x14ac:dyDescent="0.55000000000000004">
      <c r="A10" s="52">
        <v>6</v>
      </c>
      <c r="B10" s="53" t="s">
        <v>104</v>
      </c>
      <c r="C10" s="53" t="s">
        <v>112</v>
      </c>
      <c r="D10" s="58"/>
      <c r="E10" s="58"/>
      <c r="F10" s="58"/>
      <c r="G10" s="54" t="s">
        <v>99</v>
      </c>
      <c r="H10" s="58"/>
      <c r="I10" s="58"/>
      <c r="J10" s="52" t="s">
        <v>110</v>
      </c>
      <c r="K10" s="53" t="s">
        <v>29</v>
      </c>
      <c r="L10" s="55">
        <v>25211</v>
      </c>
      <c r="M10" s="59"/>
      <c r="N10" s="59"/>
      <c r="O10" s="59"/>
    </row>
    <row r="11" spans="1:15" ht="55.5" customHeight="1" x14ac:dyDescent="0.55000000000000004">
      <c r="A11" s="52">
        <v>7</v>
      </c>
      <c r="B11" s="53" t="s">
        <v>104</v>
      </c>
      <c r="C11" s="53" t="s">
        <v>111</v>
      </c>
      <c r="D11" s="58"/>
      <c r="E11" s="58"/>
      <c r="F11" s="58"/>
      <c r="G11" s="54" t="s">
        <v>99</v>
      </c>
      <c r="H11" s="58"/>
      <c r="I11" s="58"/>
      <c r="J11" s="52" t="s">
        <v>110</v>
      </c>
      <c r="K11" s="53" t="s">
        <v>29</v>
      </c>
      <c r="L11" s="55">
        <v>25211</v>
      </c>
      <c r="M11" s="59"/>
      <c r="N11" s="59"/>
      <c r="O11" s="59"/>
    </row>
    <row r="12" spans="1:15" ht="72" x14ac:dyDescent="0.55000000000000004">
      <c r="A12" s="52">
        <v>8</v>
      </c>
      <c r="B12" s="53" t="s">
        <v>113</v>
      </c>
      <c r="C12" s="53" t="s">
        <v>30</v>
      </c>
      <c r="D12" s="54"/>
      <c r="E12" s="58"/>
      <c r="F12" s="58"/>
      <c r="G12" s="54" t="s">
        <v>99</v>
      </c>
      <c r="H12" s="58"/>
      <c r="I12" s="58"/>
      <c r="J12" s="52" t="s">
        <v>114</v>
      </c>
      <c r="K12" s="53" t="s">
        <v>29</v>
      </c>
      <c r="L12" s="55">
        <v>25219</v>
      </c>
      <c r="M12" s="58"/>
      <c r="N12" s="58"/>
      <c r="O12" s="58"/>
    </row>
    <row r="13" spans="1:15" ht="120" x14ac:dyDescent="0.55000000000000004">
      <c r="A13" s="52">
        <v>9</v>
      </c>
      <c r="B13" s="53" t="s">
        <v>115</v>
      </c>
      <c r="C13" s="53" t="s">
        <v>116</v>
      </c>
      <c r="D13" s="54"/>
      <c r="E13" s="58"/>
      <c r="F13" s="58"/>
      <c r="G13" s="54" t="s">
        <v>99</v>
      </c>
      <c r="H13" s="58"/>
      <c r="I13" s="58"/>
      <c r="J13" s="52" t="s">
        <v>117</v>
      </c>
      <c r="K13" s="53" t="s">
        <v>29</v>
      </c>
      <c r="L13" s="55">
        <v>25215</v>
      </c>
      <c r="M13" s="59"/>
      <c r="N13" s="59"/>
      <c r="O13" s="59"/>
    </row>
    <row r="14" spans="1:15" ht="123" customHeight="1" x14ac:dyDescent="0.55000000000000004">
      <c r="A14" s="52">
        <v>10</v>
      </c>
      <c r="B14" s="53" t="s">
        <v>118</v>
      </c>
      <c r="C14" s="53" t="s">
        <v>119</v>
      </c>
      <c r="D14" s="54"/>
      <c r="E14" s="58"/>
      <c r="F14" s="58"/>
      <c r="G14" s="54" t="s">
        <v>99</v>
      </c>
      <c r="H14" s="58"/>
      <c r="I14" s="58"/>
      <c r="J14" s="52" t="s">
        <v>117</v>
      </c>
      <c r="K14" s="53" t="s">
        <v>29</v>
      </c>
      <c r="L14" s="55">
        <v>25215</v>
      </c>
      <c r="M14" s="59"/>
      <c r="N14" s="59"/>
      <c r="O14" s="59"/>
    </row>
    <row r="15" spans="1:15" ht="195.75" customHeight="1" x14ac:dyDescent="0.55000000000000004">
      <c r="A15" s="52">
        <v>11</v>
      </c>
      <c r="B15" s="53" t="s">
        <v>120</v>
      </c>
      <c r="C15" s="53" t="s">
        <v>121</v>
      </c>
      <c r="D15" s="54" t="s">
        <v>99</v>
      </c>
      <c r="E15" s="58"/>
      <c r="F15" s="58"/>
      <c r="G15" s="54"/>
      <c r="H15" s="58"/>
      <c r="I15" s="58"/>
      <c r="J15" s="52" t="s">
        <v>117</v>
      </c>
      <c r="K15" s="53" t="s">
        <v>29</v>
      </c>
      <c r="L15" s="55">
        <v>25216</v>
      </c>
      <c r="M15" s="59"/>
      <c r="N15" s="59"/>
      <c r="O15" s="59"/>
    </row>
    <row r="16" spans="1:15" ht="71.25" customHeight="1" x14ac:dyDescent="0.55000000000000004">
      <c r="A16" s="52">
        <v>12</v>
      </c>
      <c r="B16" s="53" t="s">
        <v>122</v>
      </c>
      <c r="C16" s="53" t="s">
        <v>123</v>
      </c>
      <c r="D16" s="58"/>
      <c r="E16" s="54"/>
      <c r="F16" s="58"/>
      <c r="G16" s="54" t="s">
        <v>99</v>
      </c>
      <c r="H16" s="58"/>
      <c r="I16" s="58"/>
      <c r="J16" s="52" t="s">
        <v>117</v>
      </c>
      <c r="K16" s="53" t="s">
        <v>29</v>
      </c>
      <c r="L16" s="55">
        <v>25215</v>
      </c>
      <c r="M16" s="59"/>
      <c r="N16" s="59"/>
      <c r="O16" s="59"/>
    </row>
    <row r="17" spans="1:44" ht="48" x14ac:dyDescent="0.55000000000000004">
      <c r="A17" s="52">
        <v>13</v>
      </c>
      <c r="B17" s="53" t="s">
        <v>104</v>
      </c>
      <c r="C17" s="53" t="s">
        <v>111</v>
      </c>
      <c r="D17" s="58"/>
      <c r="E17" s="58"/>
      <c r="F17" s="58"/>
      <c r="G17" s="54" t="s">
        <v>99</v>
      </c>
      <c r="H17" s="58"/>
      <c r="I17" s="58"/>
      <c r="J17" s="52" t="s">
        <v>110</v>
      </c>
      <c r="K17" s="53" t="s">
        <v>29</v>
      </c>
      <c r="L17" s="55">
        <v>25222</v>
      </c>
      <c r="M17" s="59"/>
      <c r="N17" s="59"/>
      <c r="O17" s="59"/>
    </row>
    <row r="18" spans="1:44" ht="48" x14ac:dyDescent="0.55000000000000004">
      <c r="A18" s="52">
        <v>14</v>
      </c>
      <c r="B18" s="53" t="s">
        <v>104</v>
      </c>
      <c r="C18" s="53" t="s">
        <v>124</v>
      </c>
      <c r="D18" s="54"/>
      <c r="E18" s="58"/>
      <c r="F18" s="58"/>
      <c r="G18" s="54" t="s">
        <v>99</v>
      </c>
      <c r="H18" s="58"/>
      <c r="I18" s="58"/>
      <c r="J18" s="52" t="s">
        <v>110</v>
      </c>
      <c r="K18" s="53" t="s">
        <v>29</v>
      </c>
      <c r="L18" s="55">
        <v>25222</v>
      </c>
      <c r="M18" s="59"/>
      <c r="N18" s="59"/>
      <c r="O18" s="59"/>
    </row>
    <row r="19" spans="1:44" ht="48" x14ac:dyDescent="0.55000000000000004">
      <c r="A19" s="52">
        <v>15</v>
      </c>
      <c r="B19" s="53" t="s">
        <v>104</v>
      </c>
      <c r="C19" s="53" t="s">
        <v>125</v>
      </c>
      <c r="D19" s="54"/>
      <c r="E19" s="58"/>
      <c r="F19" s="58"/>
      <c r="G19" s="54" t="s">
        <v>99</v>
      </c>
      <c r="H19" s="58"/>
      <c r="I19" s="58"/>
      <c r="J19" s="52" t="s">
        <v>110</v>
      </c>
      <c r="K19" s="53" t="s">
        <v>29</v>
      </c>
      <c r="L19" s="55">
        <v>25226</v>
      </c>
      <c r="M19" s="59"/>
      <c r="N19" s="59"/>
      <c r="O19" s="59"/>
    </row>
    <row r="20" spans="1:44" ht="48" x14ac:dyDescent="0.55000000000000004">
      <c r="A20" s="52">
        <v>16</v>
      </c>
      <c r="B20" s="53" t="s">
        <v>104</v>
      </c>
      <c r="C20" s="53" t="s">
        <v>126</v>
      </c>
      <c r="D20" s="54"/>
      <c r="E20" s="58"/>
      <c r="F20" s="58"/>
      <c r="G20" s="54" t="s">
        <v>99</v>
      </c>
      <c r="H20" s="58"/>
      <c r="I20" s="58"/>
      <c r="J20" s="52" t="s">
        <v>110</v>
      </c>
      <c r="K20" s="53" t="s">
        <v>29</v>
      </c>
      <c r="L20" s="55">
        <v>25227</v>
      </c>
      <c r="M20" s="59"/>
      <c r="N20" s="59"/>
      <c r="O20" s="59"/>
    </row>
    <row r="21" spans="1:44" ht="96" x14ac:dyDescent="0.55000000000000004">
      <c r="A21" s="52">
        <v>17</v>
      </c>
      <c r="B21" s="53" t="s">
        <v>127</v>
      </c>
      <c r="C21" s="53" t="s">
        <v>128</v>
      </c>
      <c r="D21" s="54"/>
      <c r="E21" s="54" t="s">
        <v>99</v>
      </c>
      <c r="F21" s="58"/>
      <c r="G21" s="54"/>
      <c r="H21" s="58"/>
      <c r="I21" s="58"/>
      <c r="J21" s="52" t="s">
        <v>117</v>
      </c>
      <c r="K21" s="53" t="s">
        <v>29</v>
      </c>
      <c r="L21" s="55">
        <v>25229</v>
      </c>
      <c r="M21" s="59"/>
      <c r="N21" s="59"/>
      <c r="O21" s="59"/>
    </row>
    <row r="22" spans="1:44" ht="120" x14ac:dyDescent="0.55000000000000004">
      <c r="A22" s="52">
        <v>18</v>
      </c>
      <c r="B22" s="53" t="s">
        <v>129</v>
      </c>
      <c r="C22" s="53" t="s">
        <v>130</v>
      </c>
      <c r="D22" s="54"/>
      <c r="E22" s="54" t="s">
        <v>99</v>
      </c>
      <c r="F22" s="58"/>
      <c r="G22" s="54"/>
      <c r="H22" s="58"/>
      <c r="I22" s="58"/>
      <c r="J22" s="52" t="s">
        <v>27</v>
      </c>
      <c r="K22" s="53" t="s">
        <v>29</v>
      </c>
      <c r="L22" s="55">
        <v>25204</v>
      </c>
      <c r="M22" s="59"/>
      <c r="N22" s="59"/>
      <c r="O22" s="59"/>
    </row>
    <row r="23" spans="1:44" ht="72" x14ac:dyDescent="0.55000000000000004">
      <c r="A23" s="52">
        <v>19</v>
      </c>
      <c r="B23" s="53" t="s">
        <v>131</v>
      </c>
      <c r="C23" s="53" t="s">
        <v>132</v>
      </c>
      <c r="D23" s="54"/>
      <c r="E23" s="58"/>
      <c r="F23" s="58"/>
      <c r="G23" s="54" t="s">
        <v>99</v>
      </c>
      <c r="H23" s="58"/>
      <c r="I23" s="58"/>
      <c r="J23" s="52" t="s">
        <v>33</v>
      </c>
      <c r="K23" s="53" t="s">
        <v>35</v>
      </c>
      <c r="L23" s="55">
        <v>25204</v>
      </c>
      <c r="M23" s="59"/>
      <c r="N23" s="59"/>
      <c r="O23" s="59"/>
    </row>
    <row r="24" spans="1:44" ht="72" x14ac:dyDescent="0.55000000000000004">
      <c r="A24" s="52">
        <v>20</v>
      </c>
      <c r="B24" s="53" t="s">
        <v>131</v>
      </c>
      <c r="C24" s="53" t="s">
        <v>132</v>
      </c>
      <c r="D24" s="54"/>
      <c r="E24" s="58"/>
      <c r="F24" s="58"/>
      <c r="G24" s="54" t="s">
        <v>99</v>
      </c>
      <c r="H24" s="58"/>
      <c r="I24" s="58"/>
      <c r="J24" s="52" t="s">
        <v>133</v>
      </c>
      <c r="K24" s="53" t="s">
        <v>35</v>
      </c>
      <c r="L24" s="55">
        <v>25204</v>
      </c>
      <c r="M24" s="59"/>
      <c r="N24" s="59"/>
      <c r="O24" s="59"/>
    </row>
    <row r="25" spans="1:44" ht="123.75" customHeight="1" x14ac:dyDescent="0.55000000000000004">
      <c r="A25" s="52">
        <v>21</v>
      </c>
      <c r="B25" s="53" t="s">
        <v>134</v>
      </c>
      <c r="C25" s="53" t="s">
        <v>135</v>
      </c>
      <c r="D25" s="58"/>
      <c r="E25" s="58"/>
      <c r="F25" s="58"/>
      <c r="G25" s="54" t="s">
        <v>99</v>
      </c>
      <c r="H25" s="58"/>
      <c r="I25" s="58"/>
      <c r="J25" s="52" t="s">
        <v>136</v>
      </c>
      <c r="K25" s="53" t="s">
        <v>137</v>
      </c>
      <c r="L25" s="55" t="s">
        <v>138</v>
      </c>
      <c r="M25" s="59"/>
      <c r="N25" s="59"/>
      <c r="O25" s="59"/>
    </row>
    <row r="26" spans="1:44" ht="96" x14ac:dyDescent="0.55000000000000004">
      <c r="A26" s="52">
        <v>22</v>
      </c>
      <c r="B26" s="53" t="s">
        <v>139</v>
      </c>
      <c r="C26" s="53" t="s">
        <v>140</v>
      </c>
      <c r="D26" s="58"/>
      <c r="E26" s="58"/>
      <c r="F26" s="58"/>
      <c r="G26" s="54" t="s">
        <v>99</v>
      </c>
      <c r="H26" s="58"/>
      <c r="I26" s="58"/>
      <c r="J26" s="52" t="s">
        <v>136</v>
      </c>
      <c r="K26" s="53" t="s">
        <v>137</v>
      </c>
      <c r="L26" s="55" t="s">
        <v>141</v>
      </c>
      <c r="M26" s="59"/>
      <c r="N26" s="59"/>
      <c r="O26" s="59"/>
    </row>
    <row r="27" spans="1:44" ht="144" x14ac:dyDescent="0.55000000000000004">
      <c r="A27" s="52">
        <v>23</v>
      </c>
      <c r="B27" s="53" t="s">
        <v>142</v>
      </c>
      <c r="C27" s="53" t="s">
        <v>143</v>
      </c>
      <c r="D27" s="54"/>
      <c r="E27" s="58"/>
      <c r="F27" s="58"/>
      <c r="G27" s="54" t="s">
        <v>99</v>
      </c>
      <c r="H27" s="58"/>
      <c r="I27" s="58"/>
      <c r="J27" s="52" t="s">
        <v>33</v>
      </c>
      <c r="K27" s="53" t="s">
        <v>35</v>
      </c>
      <c r="L27" s="55">
        <v>25204</v>
      </c>
      <c r="M27" s="59"/>
      <c r="N27" s="59"/>
      <c r="O27" s="59"/>
    </row>
    <row r="28" spans="1:44" ht="144" x14ac:dyDescent="0.55000000000000004">
      <c r="A28" s="52">
        <v>24</v>
      </c>
      <c r="B28" s="53" t="s">
        <v>144</v>
      </c>
      <c r="C28" s="53" t="s">
        <v>143</v>
      </c>
      <c r="D28" s="54"/>
      <c r="E28" s="58"/>
      <c r="F28" s="58"/>
      <c r="G28" s="54" t="s">
        <v>99</v>
      </c>
      <c r="H28" s="58"/>
      <c r="I28" s="58"/>
      <c r="J28" s="52" t="s">
        <v>133</v>
      </c>
      <c r="K28" s="53" t="s">
        <v>35</v>
      </c>
      <c r="L28" s="55">
        <v>25204</v>
      </c>
      <c r="M28" s="59"/>
      <c r="N28" s="59"/>
      <c r="O28" s="59"/>
    </row>
    <row r="29" spans="1:44" ht="120" x14ac:dyDescent="0.55000000000000004">
      <c r="A29" s="52">
        <v>25</v>
      </c>
      <c r="B29" s="60" t="s">
        <v>145</v>
      </c>
      <c r="C29" s="60" t="s">
        <v>146</v>
      </c>
      <c r="D29" s="61"/>
      <c r="E29" s="61"/>
      <c r="F29" s="61"/>
      <c r="G29" s="61"/>
      <c r="H29" s="62" t="s">
        <v>99</v>
      </c>
      <c r="I29" s="61"/>
      <c r="J29" s="63" t="s">
        <v>33</v>
      </c>
      <c r="K29" s="60" t="s">
        <v>35</v>
      </c>
      <c r="L29" s="64">
        <v>25232</v>
      </c>
      <c r="M29" s="65"/>
      <c r="N29" s="52">
        <v>8</v>
      </c>
      <c r="O29" s="59"/>
    </row>
    <row r="30" spans="1:44" s="59" customFormat="1" ht="120" x14ac:dyDescent="0.55000000000000004">
      <c r="A30" s="52">
        <v>26</v>
      </c>
      <c r="B30" s="53" t="s">
        <v>104</v>
      </c>
      <c r="C30" s="53" t="s">
        <v>147</v>
      </c>
      <c r="D30" s="58"/>
      <c r="E30" s="58"/>
      <c r="F30" s="58"/>
      <c r="G30" s="54" t="s">
        <v>99</v>
      </c>
      <c r="H30" s="54"/>
      <c r="I30" s="58"/>
      <c r="J30" s="63" t="s">
        <v>33</v>
      </c>
      <c r="K30" s="60" t="s">
        <v>35</v>
      </c>
      <c r="L30" s="64">
        <v>25232</v>
      </c>
      <c r="N30" s="52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</row>
    <row r="31" spans="1:44" s="59" customFormat="1" ht="96" x14ac:dyDescent="0.55000000000000004">
      <c r="A31" s="52">
        <v>27</v>
      </c>
      <c r="B31" s="53" t="s">
        <v>148</v>
      </c>
      <c r="C31" s="53" t="s">
        <v>149</v>
      </c>
      <c r="D31" s="58"/>
      <c r="E31" s="58"/>
      <c r="F31" s="58"/>
      <c r="G31" s="54" t="s">
        <v>99</v>
      </c>
      <c r="H31" s="54"/>
      <c r="I31" s="58"/>
      <c r="J31" s="52" t="s">
        <v>33</v>
      </c>
      <c r="K31" s="53" t="s">
        <v>35</v>
      </c>
      <c r="L31" s="55">
        <v>25229</v>
      </c>
      <c r="N31" s="52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</row>
    <row r="32" spans="1:44" s="71" customFormat="1" ht="120" x14ac:dyDescent="0.55000000000000004">
      <c r="A32" s="52">
        <v>28</v>
      </c>
      <c r="B32" s="66" t="s">
        <v>150</v>
      </c>
      <c r="C32" s="66" t="s">
        <v>151</v>
      </c>
      <c r="D32" s="67"/>
      <c r="E32" s="67"/>
      <c r="F32" s="67"/>
      <c r="G32" s="54" t="s">
        <v>99</v>
      </c>
      <c r="H32" s="67"/>
      <c r="I32" s="67"/>
      <c r="J32" s="68" t="s">
        <v>152</v>
      </c>
      <c r="K32" s="66" t="s">
        <v>153</v>
      </c>
      <c r="L32" s="69">
        <v>25223</v>
      </c>
      <c r="M32" s="70"/>
      <c r="N32" s="70"/>
      <c r="O32" s="70"/>
    </row>
    <row r="33" spans="1:15" s="71" customFormat="1" ht="120" x14ac:dyDescent="0.55000000000000004">
      <c r="A33" s="52">
        <v>29</v>
      </c>
      <c r="B33" s="66" t="s">
        <v>150</v>
      </c>
      <c r="C33" s="66" t="s">
        <v>151</v>
      </c>
      <c r="D33" s="67"/>
      <c r="E33" s="67"/>
      <c r="F33" s="67"/>
      <c r="G33" s="54" t="s">
        <v>99</v>
      </c>
      <c r="H33" s="67"/>
      <c r="I33" s="67"/>
      <c r="J33" s="68" t="s">
        <v>152</v>
      </c>
      <c r="K33" s="66" t="s">
        <v>153</v>
      </c>
      <c r="L33" s="69">
        <v>25228</v>
      </c>
      <c r="M33" s="70"/>
      <c r="N33" s="70"/>
      <c r="O33" s="70"/>
    </row>
    <row r="34" spans="1:15" ht="81.75" customHeight="1" x14ac:dyDescent="0.55000000000000004">
      <c r="A34" s="52">
        <v>30</v>
      </c>
      <c r="B34" s="53" t="s">
        <v>154</v>
      </c>
      <c r="C34" s="53" t="s">
        <v>155</v>
      </c>
      <c r="D34" s="54" t="s">
        <v>99</v>
      </c>
      <c r="E34" s="58"/>
      <c r="F34" s="58"/>
      <c r="G34" s="54"/>
      <c r="H34" s="58"/>
      <c r="I34" s="58"/>
      <c r="J34" s="52" t="s">
        <v>156</v>
      </c>
      <c r="K34" s="53" t="s">
        <v>157</v>
      </c>
      <c r="L34" s="55" t="s">
        <v>158</v>
      </c>
      <c r="M34" s="52">
        <v>4</v>
      </c>
      <c r="N34" s="59"/>
      <c r="O34" s="59"/>
    </row>
    <row r="35" spans="1:15" ht="48" x14ac:dyDescent="0.55000000000000004">
      <c r="A35" s="52">
        <v>31</v>
      </c>
      <c r="B35" s="53" t="s">
        <v>104</v>
      </c>
      <c r="C35" s="53" t="s">
        <v>159</v>
      </c>
      <c r="D35" s="54"/>
      <c r="E35" s="58"/>
      <c r="F35" s="58"/>
      <c r="G35" s="54" t="s">
        <v>99</v>
      </c>
      <c r="H35" s="58"/>
      <c r="I35" s="58"/>
      <c r="J35" s="52" t="s">
        <v>160</v>
      </c>
      <c r="K35" s="53" t="s">
        <v>157</v>
      </c>
      <c r="L35" s="55">
        <v>244361</v>
      </c>
      <c r="M35" s="59"/>
      <c r="N35" s="59"/>
      <c r="O35" s="59"/>
    </row>
    <row r="36" spans="1:15" ht="96" x14ac:dyDescent="0.55000000000000004">
      <c r="A36" s="52">
        <v>32</v>
      </c>
      <c r="B36" s="53" t="s">
        <v>161</v>
      </c>
      <c r="C36" s="53" t="s">
        <v>162</v>
      </c>
      <c r="D36" s="54" t="s">
        <v>99</v>
      </c>
      <c r="E36" s="58"/>
      <c r="F36" s="58"/>
      <c r="G36" s="54"/>
      <c r="H36" s="58"/>
      <c r="I36" s="58"/>
      <c r="J36" s="52" t="s">
        <v>163</v>
      </c>
      <c r="K36" s="53" t="s">
        <v>157</v>
      </c>
      <c r="L36" s="57" t="s">
        <v>164</v>
      </c>
      <c r="M36" s="59"/>
      <c r="N36" s="59"/>
      <c r="O36" s="59"/>
    </row>
    <row r="37" spans="1:15" ht="48" x14ac:dyDescent="0.55000000000000004">
      <c r="A37" s="52">
        <v>33</v>
      </c>
      <c r="B37" s="53" t="s">
        <v>104</v>
      </c>
      <c r="C37" s="53" t="s">
        <v>165</v>
      </c>
      <c r="D37" s="54"/>
      <c r="E37" s="58"/>
      <c r="F37" s="58"/>
      <c r="G37" s="54" t="s">
        <v>99</v>
      </c>
      <c r="H37" s="58"/>
      <c r="I37" s="58"/>
      <c r="J37" s="52" t="s">
        <v>166</v>
      </c>
      <c r="K37" s="53" t="s">
        <v>157</v>
      </c>
      <c r="L37" s="57">
        <v>25225</v>
      </c>
      <c r="M37" s="59"/>
      <c r="N37" s="59"/>
      <c r="O37" s="59"/>
    </row>
    <row r="38" spans="1:15" ht="72" x14ac:dyDescent="0.55000000000000004">
      <c r="A38" s="52">
        <v>34</v>
      </c>
      <c r="B38" s="53" t="s">
        <v>167</v>
      </c>
      <c r="C38" s="52" t="s">
        <v>168</v>
      </c>
      <c r="D38" s="54" t="s">
        <v>99</v>
      </c>
      <c r="E38" s="58"/>
      <c r="F38" s="58"/>
      <c r="G38" s="54"/>
      <c r="H38" s="58"/>
      <c r="I38" s="58"/>
      <c r="J38" s="52" t="s">
        <v>169</v>
      </c>
      <c r="K38" s="72" t="s">
        <v>170</v>
      </c>
      <c r="L38" s="55">
        <v>244376</v>
      </c>
      <c r="M38" s="52">
        <v>3</v>
      </c>
      <c r="N38" s="52">
        <v>100</v>
      </c>
      <c r="O38" s="59"/>
    </row>
    <row r="39" spans="1:15" ht="120" x14ac:dyDescent="0.55000000000000004">
      <c r="A39" s="52">
        <v>35</v>
      </c>
      <c r="B39" s="53" t="s">
        <v>171</v>
      </c>
      <c r="C39" s="53" t="s">
        <v>172</v>
      </c>
      <c r="D39" s="58"/>
      <c r="E39" s="58"/>
      <c r="F39" s="58"/>
      <c r="G39" s="54"/>
      <c r="H39" s="58"/>
      <c r="I39" s="54" t="s">
        <v>99</v>
      </c>
      <c r="J39" s="53" t="s">
        <v>173</v>
      </c>
      <c r="K39" s="72" t="s">
        <v>170</v>
      </c>
      <c r="L39" s="55">
        <v>25210</v>
      </c>
      <c r="M39" s="59"/>
      <c r="N39" s="52">
        <v>2</v>
      </c>
      <c r="O39" s="59"/>
    </row>
    <row r="40" spans="1:15" ht="75" customHeight="1" x14ac:dyDescent="0.55000000000000004">
      <c r="A40" s="52">
        <v>36</v>
      </c>
      <c r="B40" s="53" t="s">
        <v>174</v>
      </c>
      <c r="C40" s="53" t="s">
        <v>175</v>
      </c>
      <c r="D40" s="58"/>
      <c r="E40" s="58"/>
      <c r="F40" s="54"/>
      <c r="G40" s="58"/>
      <c r="H40" s="58"/>
      <c r="I40" s="54" t="s">
        <v>99</v>
      </c>
      <c r="J40" s="52" t="s">
        <v>176</v>
      </c>
      <c r="K40" s="72" t="s">
        <v>170</v>
      </c>
      <c r="L40" s="55">
        <v>25222</v>
      </c>
      <c r="M40" s="59"/>
      <c r="N40" s="52">
        <v>2</v>
      </c>
      <c r="O40" s="59"/>
    </row>
    <row r="41" spans="1:15" ht="129" customHeight="1" x14ac:dyDescent="0.55000000000000004">
      <c r="A41" s="52">
        <v>37</v>
      </c>
      <c r="B41" s="53" t="s">
        <v>177</v>
      </c>
      <c r="C41" s="53" t="s">
        <v>178</v>
      </c>
      <c r="D41" s="54" t="s">
        <v>99</v>
      </c>
      <c r="E41" s="58"/>
      <c r="F41" s="54"/>
      <c r="G41" s="58"/>
      <c r="H41" s="58"/>
      <c r="I41" s="58"/>
      <c r="J41" s="52" t="s">
        <v>176</v>
      </c>
      <c r="K41" s="72" t="s">
        <v>170</v>
      </c>
      <c r="L41" s="55">
        <v>25230</v>
      </c>
      <c r="M41" s="59"/>
      <c r="N41" s="52">
        <v>100</v>
      </c>
      <c r="O41" s="59"/>
    </row>
    <row r="42" spans="1:15" ht="131.25" customHeight="1" x14ac:dyDescent="0.55000000000000004">
      <c r="A42" s="52">
        <v>38</v>
      </c>
      <c r="B42" s="53" t="s">
        <v>179</v>
      </c>
      <c r="C42" s="53" t="s">
        <v>180</v>
      </c>
      <c r="D42" s="58"/>
      <c r="E42" s="54" t="s">
        <v>99</v>
      </c>
      <c r="F42" s="58"/>
      <c r="G42" s="54"/>
      <c r="H42" s="58"/>
      <c r="I42" s="58"/>
      <c r="J42" s="52" t="s">
        <v>181</v>
      </c>
      <c r="K42" s="53" t="s">
        <v>101</v>
      </c>
      <c r="L42" s="55">
        <v>25223</v>
      </c>
      <c r="M42" s="59"/>
      <c r="N42" s="59"/>
      <c r="O42" s="59"/>
    </row>
    <row r="43" spans="1:15" ht="120" x14ac:dyDescent="0.55000000000000004">
      <c r="A43" s="52">
        <v>39</v>
      </c>
      <c r="B43" s="53" t="s">
        <v>182</v>
      </c>
      <c r="C43" s="53" t="s">
        <v>183</v>
      </c>
      <c r="D43" s="58"/>
      <c r="E43" s="54" t="s">
        <v>99</v>
      </c>
      <c r="F43" s="58"/>
      <c r="G43" s="54"/>
      <c r="H43" s="58"/>
      <c r="I43" s="58"/>
      <c r="J43" s="52" t="s">
        <v>33</v>
      </c>
      <c r="K43" s="53" t="s">
        <v>35</v>
      </c>
      <c r="L43" s="55">
        <v>244372</v>
      </c>
      <c r="M43" s="59"/>
      <c r="N43" s="59"/>
      <c r="O43" s="59"/>
    </row>
    <row r="44" spans="1:15" ht="96" x14ac:dyDescent="0.55000000000000004">
      <c r="A44" s="52">
        <v>40</v>
      </c>
      <c r="B44" s="53" t="s">
        <v>184</v>
      </c>
      <c r="C44" s="52" t="s">
        <v>185</v>
      </c>
      <c r="D44" s="54"/>
      <c r="E44" s="58"/>
      <c r="F44" s="58"/>
      <c r="G44" s="54" t="s">
        <v>99</v>
      </c>
      <c r="H44" s="58"/>
      <c r="I44" s="58"/>
      <c r="J44" s="53" t="s">
        <v>152</v>
      </c>
      <c r="K44" s="53" t="s">
        <v>153</v>
      </c>
      <c r="L44" s="55">
        <v>244377</v>
      </c>
      <c r="M44" s="59"/>
      <c r="N44" s="52"/>
      <c r="O44" s="59"/>
    </row>
    <row r="45" spans="1:15" ht="147" customHeight="1" x14ac:dyDescent="0.55000000000000004">
      <c r="C45" s="74"/>
      <c r="I45" s="75"/>
      <c r="J45" s="74"/>
      <c r="K45" s="74"/>
      <c r="L45" s="76"/>
      <c r="N45" s="73">
        <f>SUM(N5:N44)</f>
        <v>212</v>
      </c>
    </row>
    <row r="46" spans="1:15" x14ac:dyDescent="0.55000000000000004">
      <c r="C46" s="74"/>
      <c r="D46" s="75"/>
      <c r="J46" s="73"/>
      <c r="K46" s="74"/>
      <c r="L46" s="76"/>
      <c r="N46" s="73"/>
    </row>
    <row r="47" spans="1:15" x14ac:dyDescent="0.55000000000000004">
      <c r="C47" s="74"/>
      <c r="D47" s="75"/>
      <c r="J47" s="74"/>
      <c r="K47" s="74"/>
      <c r="L47" s="76"/>
      <c r="N47" s="73"/>
    </row>
    <row r="48" spans="1:15" x14ac:dyDescent="0.55000000000000004">
      <c r="C48" s="73"/>
      <c r="I48" s="75"/>
      <c r="J48" s="74"/>
      <c r="K48" s="74"/>
      <c r="L48" s="76"/>
      <c r="N48" s="73"/>
    </row>
    <row r="49" spans="3:14" x14ac:dyDescent="0.55000000000000004">
      <c r="C49" s="73"/>
      <c r="I49" s="75"/>
      <c r="J49" s="74"/>
      <c r="K49" s="74"/>
      <c r="L49" s="76"/>
      <c r="N49" s="73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144-BE59-41E5-9031-6B47731EFBA4}">
  <dimension ref="A1:O18"/>
  <sheetViews>
    <sheetView zoomScale="80" zoomScaleNormal="80" workbookViewId="0">
      <selection activeCell="G9" sqref="G9"/>
    </sheetView>
  </sheetViews>
  <sheetFormatPr defaultColWidth="9" defaultRowHeight="21.75" x14ac:dyDescent="0.5"/>
  <cols>
    <col min="1" max="1" width="5.375" style="77" customWidth="1"/>
    <col min="2" max="2" width="23.125" style="96" customWidth="1"/>
    <col min="3" max="3" width="9.5" style="94" customWidth="1"/>
    <col min="4" max="4" width="7.625" style="77" customWidth="1"/>
    <col min="5" max="5" width="10" style="97" bestFit="1" customWidth="1"/>
    <col min="6" max="6" width="19.125" style="94" customWidth="1"/>
    <col min="7" max="7" width="14.25" style="94" customWidth="1"/>
    <col min="8" max="8" width="22.375" style="94" customWidth="1"/>
    <col min="9" max="9" width="15" style="94" customWidth="1"/>
    <col min="10" max="10" width="20" style="95" customWidth="1"/>
    <col min="11" max="11" width="7.375" style="95" customWidth="1"/>
    <col min="12" max="12" width="6" style="95" customWidth="1"/>
    <col min="13" max="13" width="6.75" style="95" customWidth="1"/>
    <col min="14" max="14" width="6.375" style="95" customWidth="1"/>
    <col min="15" max="15" width="9.375" style="77" customWidth="1"/>
    <col min="16" max="16384" width="9" style="77"/>
  </cols>
  <sheetData>
    <row r="1" spans="1:15" ht="24" x14ac:dyDescent="0.5">
      <c r="A1" s="173" t="s">
        <v>186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</row>
    <row r="2" spans="1:15" ht="24" x14ac:dyDescent="0.5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1:15" s="78" customFormat="1" ht="25.5" customHeight="1" x14ac:dyDescent="0.2">
      <c r="A3" s="112" t="s">
        <v>2</v>
      </c>
      <c r="B3" s="171" t="s">
        <v>187</v>
      </c>
      <c r="C3" s="171" t="s">
        <v>188</v>
      </c>
      <c r="D3" s="175" t="s">
        <v>189</v>
      </c>
      <c r="E3" s="177" t="s">
        <v>190</v>
      </c>
      <c r="F3" s="171" t="s">
        <v>191</v>
      </c>
      <c r="G3" s="179" t="s">
        <v>192</v>
      </c>
      <c r="H3" s="180"/>
      <c r="I3" s="171" t="s">
        <v>193</v>
      </c>
      <c r="J3" s="171" t="s">
        <v>194</v>
      </c>
      <c r="K3" s="112" t="s">
        <v>195</v>
      </c>
      <c r="L3" s="112" t="s">
        <v>196</v>
      </c>
      <c r="M3" s="112" t="s">
        <v>197</v>
      </c>
      <c r="N3" s="112" t="s">
        <v>198</v>
      </c>
      <c r="O3" s="114" t="s">
        <v>16</v>
      </c>
    </row>
    <row r="4" spans="1:15" s="81" customFormat="1" ht="21" customHeight="1" x14ac:dyDescent="0.2">
      <c r="A4" s="115"/>
      <c r="B4" s="172"/>
      <c r="C4" s="172"/>
      <c r="D4" s="176"/>
      <c r="E4" s="178"/>
      <c r="F4" s="172"/>
      <c r="G4" s="80" t="s">
        <v>199</v>
      </c>
      <c r="H4" s="80" t="s">
        <v>200</v>
      </c>
      <c r="I4" s="172"/>
      <c r="J4" s="172"/>
      <c r="K4" s="115"/>
      <c r="L4" s="115"/>
      <c r="M4" s="115"/>
      <c r="N4" s="115"/>
      <c r="O4" s="113"/>
    </row>
    <row r="5" spans="1:15" s="83" customFormat="1" ht="108.75" x14ac:dyDescent="0.5">
      <c r="A5" s="7">
        <v>1</v>
      </c>
      <c r="B5" s="6" t="s">
        <v>201</v>
      </c>
      <c r="C5" s="6" t="s">
        <v>202</v>
      </c>
      <c r="D5" s="7" t="s">
        <v>203</v>
      </c>
      <c r="E5" s="82">
        <v>3333</v>
      </c>
      <c r="F5" s="6" t="s">
        <v>33</v>
      </c>
      <c r="G5" s="6" t="s">
        <v>30</v>
      </c>
      <c r="H5" s="6" t="s">
        <v>204</v>
      </c>
      <c r="I5" s="6" t="s">
        <v>35</v>
      </c>
      <c r="J5" s="6" t="s">
        <v>205</v>
      </c>
      <c r="K5" s="6">
        <v>2025</v>
      </c>
      <c r="L5" s="6">
        <v>23</v>
      </c>
      <c r="M5" s="6" t="s">
        <v>206</v>
      </c>
      <c r="N5" s="6" t="s">
        <v>30</v>
      </c>
      <c r="O5" s="6" t="s">
        <v>207</v>
      </c>
    </row>
    <row r="6" spans="1:15" s="81" customFormat="1" ht="145.5" customHeight="1" x14ac:dyDescent="0.2">
      <c r="A6" s="84">
        <v>2</v>
      </c>
      <c r="B6" s="85" t="s">
        <v>208</v>
      </c>
      <c r="C6" s="6" t="s">
        <v>202</v>
      </c>
      <c r="D6" s="7" t="s">
        <v>203</v>
      </c>
      <c r="E6" s="86">
        <v>20000</v>
      </c>
      <c r="F6" s="85" t="s">
        <v>110</v>
      </c>
      <c r="G6" s="85" t="s">
        <v>30</v>
      </c>
      <c r="H6" s="85" t="s">
        <v>209</v>
      </c>
      <c r="I6" s="6" t="s">
        <v>210</v>
      </c>
      <c r="J6" s="87" t="s">
        <v>211</v>
      </c>
      <c r="K6" s="85">
        <v>15</v>
      </c>
      <c r="L6" s="85">
        <v>39660</v>
      </c>
      <c r="M6" s="85">
        <v>1</v>
      </c>
      <c r="N6" s="85">
        <v>13</v>
      </c>
      <c r="O6" s="85" t="s">
        <v>207</v>
      </c>
    </row>
    <row r="7" spans="1:15" s="81" customFormat="1" ht="87" x14ac:dyDescent="0.2">
      <c r="A7" s="84">
        <v>3</v>
      </c>
      <c r="B7" s="85" t="s">
        <v>212</v>
      </c>
      <c r="C7" s="85" t="s">
        <v>202</v>
      </c>
      <c r="D7" s="88" t="s">
        <v>213</v>
      </c>
      <c r="E7" s="86">
        <v>5000</v>
      </c>
      <c r="F7" s="85" t="s">
        <v>27</v>
      </c>
      <c r="G7" s="85" t="s">
        <v>30</v>
      </c>
      <c r="H7" s="85" t="s">
        <v>214</v>
      </c>
      <c r="I7" s="85" t="s">
        <v>29</v>
      </c>
      <c r="J7" s="87" t="s">
        <v>215</v>
      </c>
      <c r="K7" s="85">
        <v>24</v>
      </c>
      <c r="L7" s="85">
        <v>3</v>
      </c>
      <c r="M7" s="85">
        <v>1</v>
      </c>
      <c r="N7" s="85">
        <v>12</v>
      </c>
      <c r="O7" s="85" t="s">
        <v>216</v>
      </c>
    </row>
    <row r="8" spans="1:15" s="81" customFormat="1" ht="108.75" x14ac:dyDescent="0.2">
      <c r="A8" s="84">
        <v>4</v>
      </c>
      <c r="B8" s="85" t="s">
        <v>217</v>
      </c>
      <c r="C8" s="85" t="s">
        <v>218</v>
      </c>
      <c r="D8" s="88" t="s">
        <v>203</v>
      </c>
      <c r="E8" s="86">
        <v>800</v>
      </c>
      <c r="F8" s="85" t="s">
        <v>219</v>
      </c>
      <c r="G8" s="85" t="s">
        <v>220</v>
      </c>
      <c r="H8" s="85" t="s">
        <v>30</v>
      </c>
      <c r="I8" s="85" t="s">
        <v>221</v>
      </c>
      <c r="J8" s="87" t="s">
        <v>222</v>
      </c>
      <c r="K8" s="85">
        <v>2026</v>
      </c>
      <c r="L8" s="85">
        <v>408</v>
      </c>
      <c r="M8" s="85">
        <v>112898</v>
      </c>
      <c r="N8" s="85" t="s">
        <v>30</v>
      </c>
      <c r="O8" s="85" t="s">
        <v>223</v>
      </c>
    </row>
    <row r="9" spans="1:15" s="81" customFormat="1" ht="108.75" x14ac:dyDescent="0.2">
      <c r="A9" s="84">
        <v>5</v>
      </c>
      <c r="B9" s="85" t="s">
        <v>224</v>
      </c>
      <c r="C9" s="85" t="s">
        <v>218</v>
      </c>
      <c r="D9" s="88" t="s">
        <v>203</v>
      </c>
      <c r="E9" s="86">
        <v>20000</v>
      </c>
      <c r="F9" s="85" t="s">
        <v>225</v>
      </c>
      <c r="G9" s="85" t="s">
        <v>30</v>
      </c>
      <c r="H9" s="85" t="s">
        <v>226</v>
      </c>
      <c r="I9" s="85" t="s">
        <v>157</v>
      </c>
      <c r="J9" s="87" t="s">
        <v>30</v>
      </c>
      <c r="K9" s="85">
        <v>2025</v>
      </c>
      <c r="L9" s="85" t="s">
        <v>30</v>
      </c>
      <c r="M9" s="85">
        <v>1</v>
      </c>
      <c r="N9" s="85">
        <v>21</v>
      </c>
      <c r="O9" s="85" t="s">
        <v>227</v>
      </c>
    </row>
    <row r="10" spans="1:15" s="81" customFormat="1" ht="87" x14ac:dyDescent="0.2">
      <c r="A10" s="84">
        <v>6</v>
      </c>
      <c r="B10" s="85" t="s">
        <v>228</v>
      </c>
      <c r="C10" s="85" t="s">
        <v>202</v>
      </c>
      <c r="D10" s="88" t="s">
        <v>213</v>
      </c>
      <c r="E10" s="86">
        <v>5000</v>
      </c>
      <c r="F10" s="85" t="s">
        <v>229</v>
      </c>
      <c r="G10" s="85" t="s">
        <v>30</v>
      </c>
      <c r="H10" s="85" t="s">
        <v>230</v>
      </c>
      <c r="I10" s="85" t="s">
        <v>101</v>
      </c>
      <c r="J10" s="87" t="s">
        <v>231</v>
      </c>
      <c r="K10" s="85">
        <v>43</v>
      </c>
      <c r="L10" s="85">
        <v>3</v>
      </c>
      <c r="M10" s="85">
        <v>241</v>
      </c>
      <c r="N10" s="85">
        <v>251</v>
      </c>
      <c r="O10" s="85" t="s">
        <v>216</v>
      </c>
    </row>
    <row r="11" spans="1:15" s="81" customFormat="1" ht="130.5" x14ac:dyDescent="0.2">
      <c r="A11" s="84">
        <v>7</v>
      </c>
      <c r="B11" s="85" t="s">
        <v>232</v>
      </c>
      <c r="C11" s="85" t="s">
        <v>202</v>
      </c>
      <c r="D11" s="88" t="s">
        <v>203</v>
      </c>
      <c r="E11" s="86">
        <v>20000</v>
      </c>
      <c r="F11" s="85" t="s">
        <v>229</v>
      </c>
      <c r="G11" s="85" t="s">
        <v>30</v>
      </c>
      <c r="H11" s="85" t="s">
        <v>233</v>
      </c>
      <c r="I11" s="85" t="s">
        <v>101</v>
      </c>
      <c r="J11" s="87" t="s">
        <v>234</v>
      </c>
      <c r="K11" s="85">
        <v>24</v>
      </c>
      <c r="L11" s="85" t="s">
        <v>30</v>
      </c>
      <c r="M11" s="85">
        <v>1</v>
      </c>
      <c r="N11" s="85">
        <v>12</v>
      </c>
      <c r="O11" s="85" t="s">
        <v>207</v>
      </c>
    </row>
    <row r="12" spans="1:15" s="81" customFormat="1" ht="174" x14ac:dyDescent="0.2">
      <c r="A12" s="84">
        <v>8</v>
      </c>
      <c r="B12" s="85" t="s">
        <v>235</v>
      </c>
      <c r="C12" s="85" t="s">
        <v>202</v>
      </c>
      <c r="D12" s="88" t="s">
        <v>213</v>
      </c>
      <c r="E12" s="86">
        <v>5000</v>
      </c>
      <c r="F12" s="85" t="s">
        <v>236</v>
      </c>
      <c r="G12" s="85" t="s">
        <v>30</v>
      </c>
      <c r="H12" s="85" t="s">
        <v>237</v>
      </c>
      <c r="I12" s="85" t="s">
        <v>157</v>
      </c>
      <c r="J12" s="87" t="s">
        <v>238</v>
      </c>
      <c r="K12" s="85">
        <v>13</v>
      </c>
      <c r="L12" s="85">
        <v>2</v>
      </c>
      <c r="M12" s="85">
        <v>39</v>
      </c>
      <c r="N12" s="85">
        <v>54</v>
      </c>
      <c r="O12" s="85" t="s">
        <v>216</v>
      </c>
    </row>
    <row r="13" spans="1:15" s="81" customFormat="1" ht="108.75" x14ac:dyDescent="0.2">
      <c r="A13" s="84">
        <v>9</v>
      </c>
      <c r="B13" s="85" t="s">
        <v>239</v>
      </c>
      <c r="C13" s="85" t="s">
        <v>202</v>
      </c>
      <c r="D13" s="88" t="s">
        <v>203</v>
      </c>
      <c r="E13" s="86">
        <v>20000</v>
      </c>
      <c r="F13" s="85" t="s">
        <v>240</v>
      </c>
      <c r="G13" s="85" t="s">
        <v>30</v>
      </c>
      <c r="H13" s="85" t="s">
        <v>241</v>
      </c>
      <c r="I13" s="85" t="s">
        <v>242</v>
      </c>
      <c r="J13" s="87" t="s">
        <v>243</v>
      </c>
      <c r="K13" s="85">
        <v>2026</v>
      </c>
      <c r="L13" s="85">
        <v>408</v>
      </c>
      <c r="M13" s="85">
        <v>112898</v>
      </c>
      <c r="N13" s="84" t="s">
        <v>30</v>
      </c>
      <c r="O13" s="85" t="s">
        <v>207</v>
      </c>
    </row>
    <row r="14" spans="1:15" s="81" customFormat="1" x14ac:dyDescent="0.2">
      <c r="A14" s="89"/>
      <c r="B14" s="90"/>
      <c r="C14" s="90"/>
      <c r="D14" s="91"/>
      <c r="E14" s="92"/>
      <c r="F14" s="90"/>
      <c r="G14" s="90"/>
      <c r="H14" s="90"/>
      <c r="I14" s="90"/>
      <c r="J14" s="93"/>
      <c r="K14" s="90"/>
      <c r="L14" s="90"/>
      <c r="M14" s="90"/>
      <c r="O14" s="90"/>
    </row>
    <row r="15" spans="1:15" s="81" customFormat="1" x14ac:dyDescent="0.2">
      <c r="A15" s="89"/>
      <c r="B15" s="90"/>
      <c r="C15" s="90"/>
      <c r="D15" s="91"/>
      <c r="E15" s="92"/>
      <c r="F15" s="90"/>
      <c r="G15" s="90"/>
      <c r="H15" s="90"/>
      <c r="I15" s="90"/>
      <c r="J15" s="93"/>
      <c r="K15" s="90"/>
      <c r="L15" s="90"/>
      <c r="M15" s="90"/>
      <c r="O15" s="90"/>
    </row>
    <row r="16" spans="1:15" s="81" customFormat="1" x14ac:dyDescent="0.2">
      <c r="A16" s="89"/>
      <c r="B16" s="90"/>
      <c r="C16" s="90"/>
      <c r="D16" s="91"/>
      <c r="E16" s="92"/>
      <c r="F16" s="90"/>
      <c r="G16" s="90"/>
      <c r="H16" s="90"/>
      <c r="I16" s="90"/>
      <c r="J16" s="93"/>
      <c r="K16" s="90"/>
      <c r="L16" s="90"/>
      <c r="M16" s="90"/>
      <c r="O16" s="90"/>
    </row>
    <row r="18" spans="1:15" s="94" customFormat="1" ht="27.95" customHeight="1" x14ac:dyDescent="0.7">
      <c r="A18" s="169" t="s">
        <v>244</v>
      </c>
      <c r="B18" s="170"/>
      <c r="C18" s="170"/>
      <c r="D18" s="170"/>
      <c r="E18" s="170"/>
      <c r="F18" s="170"/>
      <c r="J18" s="95"/>
      <c r="K18" s="95"/>
      <c r="L18" s="95"/>
      <c r="M18" s="95"/>
      <c r="N18" s="95"/>
      <c r="O18" s="77"/>
    </row>
  </sheetData>
  <mergeCells count="17"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  <mergeCell ref="A18:F18"/>
    <mergeCell ref="J3:J4"/>
    <mergeCell ref="K3:K4"/>
    <mergeCell ref="L3:L4"/>
    <mergeCell ref="M3:M4"/>
  </mergeCells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46B6-0750-4A15-9BA1-6AB6CAA52D65}">
  <dimension ref="A1:M5"/>
  <sheetViews>
    <sheetView zoomScale="150" zoomScaleNormal="150" workbookViewId="0">
      <selection activeCell="C5" sqref="C5"/>
    </sheetView>
  </sheetViews>
  <sheetFormatPr defaultRowHeight="17.25" x14ac:dyDescent="0.4"/>
  <cols>
    <col min="1" max="1" width="6" style="1" customWidth="1"/>
    <col min="2" max="2" width="22.625" style="1" customWidth="1"/>
    <col min="3" max="3" width="23.375" style="1" customWidth="1"/>
    <col min="4" max="4" width="12.625" style="1" customWidth="1"/>
    <col min="5" max="5" width="10" style="1" customWidth="1"/>
    <col min="6" max="6" width="8.375" style="1" customWidth="1"/>
    <col min="7" max="7" width="10.75" style="1" customWidth="1"/>
    <col min="8" max="8" width="12" style="1" customWidth="1"/>
    <col min="9" max="9" width="8.625" style="1" customWidth="1"/>
    <col min="10" max="10" width="9.75" style="1" customWidth="1"/>
    <col min="11" max="11" width="9.5" style="1" customWidth="1"/>
    <col min="12" max="12" width="9" style="1"/>
    <col min="13" max="13" width="7.125" style="1" customWidth="1"/>
    <col min="14" max="16384" width="9" style="1"/>
  </cols>
  <sheetData>
    <row r="1" spans="1:13" ht="24" x14ac:dyDescent="0.4">
      <c r="A1" s="110" t="s">
        <v>245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3" ht="24" x14ac:dyDescent="0.55000000000000004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s="4" customFormat="1" ht="25.5" customHeight="1" x14ac:dyDescent="0.2">
      <c r="A3" s="112" t="s">
        <v>2</v>
      </c>
      <c r="B3" s="114" t="s">
        <v>83</v>
      </c>
      <c r="C3" s="114" t="s">
        <v>246</v>
      </c>
      <c r="D3" s="112" t="s">
        <v>247</v>
      </c>
      <c r="E3" s="116" t="s">
        <v>85</v>
      </c>
      <c r="F3" s="117"/>
      <c r="G3" s="118" t="s">
        <v>248</v>
      </c>
      <c r="H3" s="119"/>
      <c r="I3" s="120" t="s">
        <v>249</v>
      </c>
      <c r="J3" s="121"/>
      <c r="K3" s="122"/>
      <c r="L3" s="112" t="s">
        <v>250</v>
      </c>
      <c r="M3" s="107" t="s">
        <v>16</v>
      </c>
    </row>
    <row r="4" spans="1:13" s="4" customFormat="1" ht="24.75" customHeight="1" x14ac:dyDescent="0.2">
      <c r="A4" s="113"/>
      <c r="B4" s="113"/>
      <c r="C4" s="113"/>
      <c r="D4" s="115"/>
      <c r="E4" s="79" t="s">
        <v>251</v>
      </c>
      <c r="F4" s="79" t="s">
        <v>252</v>
      </c>
      <c r="G4" s="80" t="s">
        <v>253</v>
      </c>
      <c r="H4" s="98" t="s">
        <v>254</v>
      </c>
      <c r="I4" s="98" t="s">
        <v>255</v>
      </c>
      <c r="J4" s="109" t="s">
        <v>256</v>
      </c>
      <c r="K4" s="109"/>
      <c r="L4" s="113"/>
      <c r="M4" s="108"/>
    </row>
    <row r="5" spans="1:13" ht="43.5" x14ac:dyDescent="0.4">
      <c r="A5" s="99">
        <v>1</v>
      </c>
      <c r="B5" s="100" t="s">
        <v>257</v>
      </c>
      <c r="C5" s="100" t="s">
        <v>258</v>
      </c>
      <c r="D5" s="101" t="s">
        <v>101</v>
      </c>
      <c r="E5" s="102" t="s">
        <v>99</v>
      </c>
      <c r="F5" s="103" t="s">
        <v>30</v>
      </c>
      <c r="G5" s="104">
        <v>243786</v>
      </c>
      <c r="H5" s="99">
        <v>2403001791</v>
      </c>
      <c r="I5" s="100">
        <v>26189</v>
      </c>
      <c r="J5" s="105">
        <v>244215</v>
      </c>
      <c r="K5" s="105">
        <v>245977</v>
      </c>
      <c r="L5" s="106">
        <v>10000</v>
      </c>
      <c r="M5" s="100"/>
    </row>
  </sheetData>
  <mergeCells count="12">
    <mergeCell ref="M3:M4"/>
    <mergeCell ref="J4:K4"/>
    <mergeCell ref="A1:M1"/>
    <mergeCell ref="A2:M2"/>
    <mergeCell ref="A3:A4"/>
    <mergeCell ref="B3:B4"/>
    <mergeCell ref="C3:C4"/>
    <mergeCell ref="D3:D4"/>
    <mergeCell ref="E3:F3"/>
    <mergeCell ref="G3:H3"/>
    <mergeCell ref="I3:K3"/>
    <mergeCell ref="L3:L4"/>
  </mergeCells>
  <pageMargins left="0.31496062992125984" right="0" top="0.15748031496062992" bottom="0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3</vt:i4>
      </vt:variant>
    </vt:vector>
  </HeadingPairs>
  <TitlesOfParts>
    <vt:vector size="8" baseType="lpstr">
      <vt:lpstr>1-โครงการวิจัย</vt:lpstr>
      <vt:lpstr>2-โครงการพัฒนาวิชาการ</vt:lpstr>
      <vt:lpstr>3-งานบริการวิชาการ</vt:lpstr>
      <vt:lpstr>4-ผลงานทางวิชาการ</vt:lpstr>
      <vt:lpstr>5-งานทรัพย์สินทางปัญญา</vt:lpstr>
      <vt:lpstr>'2-โครงการพัฒนาวิชาการ'!Print_Titles</vt:lpstr>
      <vt:lpstr>'3-งานบริการวิชาการ'!Print_Titles</vt:lpstr>
      <vt:lpstr>'4-ผลงานทางวิชาการ'!Print_Titles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ทศพร เอี่ยมสะอาด</dc:creator>
  <cp:lastModifiedBy>ทศพร เอี่ยมสะอาด</cp:lastModifiedBy>
  <dcterms:created xsi:type="dcterms:W3CDTF">2026-06-11T08:55:56Z</dcterms:created>
  <dcterms:modified xsi:type="dcterms:W3CDTF">2026-06-11T09:02:02Z</dcterms:modified>
</cp:coreProperties>
</file>
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เวิร์กบุ๊กนี้"/>
  <mc:AlternateContent xmlns:mc="http://schemas.openxmlformats.org/markup-compatibility/2006">
    <mc:Choice Requires="x15">
      <x15ac:absPath xmlns:x15ac="http://schemas.microsoft.com/office/spreadsheetml/2010/11/ac" url="D:\6.สรุปงานบริการ(ทุกเดือน).E\ปี2568\"/>
    </mc:Choice>
  </mc:AlternateContent>
  <xr:revisionPtr revIDLastSave="0" documentId="13_ncr:1_{402C5B6D-7431-44D2-825A-91753E6B0E0F}" xr6:coauthVersionLast="47" xr6:coauthVersionMax="47" xr10:uidLastSave="{00000000-0000-0000-0000-000000000000}"/>
  <bookViews>
    <workbookView xWindow="3345" yWindow="300" windowWidth="14340" windowHeight="15480" firstSheet="3" activeTab="7" xr2:uid="{00000000-000D-0000-FFFF-FFFF00000000}"/>
  </bookViews>
  <sheets>
    <sheet name="รวม" sheetId="38" r:id="rId1"/>
    <sheet name="ก.พ.68 " sheetId="30" r:id="rId2"/>
    <sheet name="พ.ค.68" sheetId="33" r:id="rId3"/>
    <sheet name="มิ.ย.68" sheetId="34" r:id="rId4"/>
    <sheet name="ก.ค.68" sheetId="35" r:id="rId5"/>
    <sheet name="ส.ค.68" sheetId="36" r:id="rId6"/>
    <sheet name="ก.ย.68 " sheetId="37" r:id="rId7"/>
    <sheet name="พ.ย.68" sheetId="40" r:id="rId8"/>
  </sheets>
  <definedNames>
    <definedName name="_xlnm.Print_Titles" localSheetId="4">'ก.ค.68'!$1:$4</definedName>
    <definedName name="_xlnm.Print_Titles" localSheetId="3">'มิ.ย.68'!$1:$4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 i="38" l="1"/>
  <c r="K28" i="38" l="1"/>
  <c r="L9" i="30"/>
</calcChain>
</file>

<file path=xl/sharedStrings.xml><?xml version="1.0" encoding="utf-8"?>
<sst xmlns="http://schemas.openxmlformats.org/spreadsheetml/2006/main" count="753" uniqueCount="149">
  <si>
    <t>ชื่อโครงการ</t>
  </si>
  <si>
    <t>หัวหน้าโครงการ</t>
  </si>
  <si>
    <t>แหล่งทุนวิจัย</t>
  </si>
  <si>
    <t>งบประมาณ</t>
  </si>
  <si>
    <t>การบูรณาการ</t>
  </si>
  <si>
    <t>การบริการวิชาการ/      ชื่อโครงการ</t>
  </si>
  <si>
    <t>หมายเหตุ</t>
  </si>
  <si>
    <t>ลำดับ
ที่</t>
  </si>
  <si>
    <t>หน่วยงาน
รับผิดชอบ</t>
  </si>
  <si>
    <t>รหัส
โครงการ</t>
  </si>
  <si>
    <t>นำวิจัยมาใช้การเรียนการสอน</t>
  </si>
  <si>
    <t>การนำความรู้จากการสอนรายวิชา</t>
  </si>
  <si>
    <t>ภายใน</t>
  </si>
  <si>
    <t>ภายนอก</t>
  </si>
  <si>
    <t>ผู้ร่วมวิจัย</t>
  </si>
  <si>
    <t>ความร่วมมือ</t>
  </si>
  <si>
    <t>ใน
ประเทศ</t>
  </si>
  <si>
    <t>ต่าง
ประเทศ</t>
  </si>
  <si>
    <t>ลักษณะโครงการ</t>
  </si>
  <si>
    <t>สร้างความเข้มแข็ง</t>
  </si>
  <si>
    <t>สอดคล้องกับนโยบาย</t>
  </si>
  <si>
    <t>ระดับ
TRL</t>
  </si>
  <si>
    <t>สรุปโครงการวิจัยคณะวิศวกรรมศาสตร์ กำแพงแสน</t>
  </si>
  <si>
    <t>เดือนกุมภาพันธ์ 2568</t>
  </si>
  <si>
    <t>การออกแบบวางระบบ และทดสอประสิทธิภาพ ระบบการผลิตน้ำดื่ม พระพิรุณตามมาตรฐานกระทรวงสาธารณสุข</t>
  </si>
  <si>
    <t>รศ.เชาว์ อินทร์ประสิทธิ์</t>
  </si>
  <si>
    <t>อ.สยุมพร รัตนพันธ์,             
อ.ธิติพงศ์ โพธิสุทธิ์,            
นางสาวนันทนัช อนันทาวุฒิ, 
นายศักดิ์ชาย ทองเนื้องาม,    นางสาวลลิตา ออมสิน,        
นางสวาขนิษฐา ออมสิน,     นางสาวอรุณี สุขศรี,          
นางสาวปฐมาภรณ์ อุ่นเรือน,
นายภคพล จั่นคำ,            
นายภูฟ้า โรจนประชานารถ, 
นายปิยวัฒน์ กนกวรกาญจน์,
นายศักดิ์นริทร์ เสือคำราม</t>
  </si>
  <si>
    <t>รศ.ดร.กิตติพงษ์ ลาลุน</t>
  </si>
  <si>
    <t>เดือนพฤษภาคม 2568</t>
  </si>
  <si>
    <t>ระบบการให้น้ำอย่างแม่นยำในสวนมะม่วงน้ำดอกไม้สีทองเพื่อการส่งออกจังหวัดขอนแก่นและจังหวัดชัยภูมิ</t>
  </si>
  <si>
    <t>รศ.ดร.รณฤทธิ์  ฤทธิรณ</t>
  </si>
  <si>
    <t>รศ.ดร.พีระศักดิ์ ฉายประสาท,
รศ.ดร.สุภัทร์ อิศรางกูร ณ อยุธยา,
ผศ.บุญมา ป้านประดิษฐ์,
ดร.นุชนาฏ ภักดี,
นายพุทธพงษ์ สร้อยเพชรเกษม,
ผศ.ดร.ศุภัชญา นามพิลา,
ผศ.ดร.พัชรี สุริยะ,
นายสมยศ มีทา,
นางนิกูล ทองดี</t>
  </si>
  <si>
    <t>ภาควิชา
วิศวกรรมการอาหาร</t>
  </si>
  <si>
    <t>-</t>
  </si>
  <si>
    <t>สำนักงานการวิจัย
แห่งชาติ (วช.)</t>
  </si>
  <si>
    <t>ระยะเวลาเริ่มดำเนินการ</t>
  </si>
  <si>
    <t>ระยะเวลาสิ้นสุดการดำเนินการ</t>
  </si>
  <si>
    <t>ภาควิชา
วิศวกรรมอุตสาหการ</t>
  </si>
  <si>
    <t>ทุนสนับสนุนการวิจัย 
วิทยาเขตกำแพงแสน 
ประจำปีงบประมาณ 2568</t>
  </si>
  <si>
    <t>หน่วยบริหารและจัดการทุนด้านการเพิ่มความสามารถในการแข่งขันของประเทศ (บพข.) ร่วมกับ บริษัท อินโนวาเทค เอ็นเนอร์ยี่ จำกัด</t>
  </si>
  <si>
    <r>
      <t xml:space="preserve">ศ.ดร.กาญจนา เศรษฐนันท์,  
ศ.ดร.ระพีพันธ์ ปิตาคะโส,    
ผศ.ดร.จุฬาพร เบญจปิยะพร,
ผศ.ดร.ฉัตรชัย เบญจปิยะพร,
ผศ.ดร.ฐิติพงศ์ จำรัส,       </t>
    </r>
    <r>
      <rPr>
        <sz val="14"/>
        <color rgb="FFFF0000"/>
        <rFont val="TH Sarabun New"/>
        <family val="2"/>
      </rPr>
      <t xml:space="preserve"> 
ผศ.อธิวัฒน์ บุญมี,</t>
    </r>
    <r>
      <rPr>
        <sz val="14"/>
        <color rgb="FF000000"/>
        <rFont val="TH Sarabun New"/>
        <family val="2"/>
      </rPr>
      <t xml:space="preserve">              
ผศ.ดร.ก้องกิดากร วรสาร,  
ดร.ณัฐพล โสกุดเลาะ,</t>
    </r>
  </si>
  <si>
    <t>การพัฒนาเทคโนโลยีดิจิทัลแพลตฟอร์มของการรวบรวมใบอ้อยเพื่อลดต้นทุนโลจิสติกส์ และส่งเสริมการใช้ประโยชน์พลังงานทดแทนในอุตสาหกรรมอ้อยและน้ำตาลทราย</t>
  </si>
  <si>
    <t>เดือนมิถุนายน 2568</t>
  </si>
  <si>
    <t>การศึกษาคุณลักษณะการถ่ายเทความร้อนและการไหลของการหล่อเย็นภายในใบกังหันก๊าซ (Study of heat transfer and flow characteristics of cooling inside gas turbine blades)</t>
  </si>
  <si>
    <t>ผศ.ดร.คมกฤษณ์  ชัยโย</t>
  </si>
  <si>
    <t>ภาควิชา
วิศวกรรมเครื่องกล</t>
  </si>
  <si>
    <t>คณะวิศวกรรมศาสตร์ กำแพงแสน</t>
  </si>
  <si>
    <t>รศ.วิจิตรา  ภูมิสวัสดิ์</t>
  </si>
  <si>
    <t>การอบรมการผลิตกาบกล้วยและถ้วยจากกาบกล้วยและใบไม้เพื่อสร้างมูลค่าเพิ่มจากวัสดุธรรมชาติและลดขยะต้นทาง 2568</t>
  </si>
  <si>
    <t>ผศ.นงลักษณ์ เล็กรุ่งเรืองกิจ</t>
  </si>
  <si>
    <t>ศูนย์ปฏิบัติการวิศวกรรมพลังงานและสิ่งแวดล้อม</t>
  </si>
  <si>
    <t>การผลิตเชื้อเพลิงทอริไฟด์จาก
กากกาแฟ</t>
  </si>
  <si>
    <t>วศ.กพส.
7/2568</t>
  </si>
  <si>
    <t>วศ.กพส.
8/2568</t>
  </si>
  <si>
    <t>วศ.กพส.
9/2568</t>
  </si>
  <si>
    <t>01208341
การออกแบบระบบทางความร้อน</t>
  </si>
  <si>
    <t>TRL1 ดำเนินโครงการเสร็จไป TRL3</t>
  </si>
  <si>
    <t>01204448
พลังงานทดแทน
เบื้องต้น</t>
  </si>
  <si>
    <t>นางพีรดา จิตตา</t>
  </si>
  <si>
    <t>วศ.กพส.
บ.1/2568</t>
  </si>
  <si>
    <t>02201495
การเตรียมโครงงานวิศวกรรม
02201499
วิชาโครงงานวิศวกรรม</t>
  </si>
  <si>
    <t xml:space="preserve">มีการนำความรู้จากการวิจัยเรื่อง เครื่องผลิตถ้วยใบไม้เพื่อการผลิตระดับชุมชน </t>
  </si>
  <si>
    <t>ดร.อรรถวุทธิ์  รื่นเริงใจ,
นายวีระพงษ์ กระแสธีป,
นางสาวธันยพร โส๊ะอ้น,
นางเนตรนภา วิชานงค์</t>
  </si>
  <si>
    <t>ผศ.ดร.ไชยาพงษ์ เทพประสิทธิ์</t>
  </si>
  <si>
    <t>ภาควิชา
วิศวกรรมชลประทาน</t>
  </si>
  <si>
    <t>การประยุกต์ใช้ระบบการจำลองแบบอัตโนมัติสำหรับคาดการณ์ปริมาณความต้องการน้ำชลประทานและปริมาณน้ำท่าผิวดินเพื่อสนับสนุนการบริหารจัดการน้ำในพื้นที่ลุ่มน้ำแม่กลอง</t>
  </si>
  <si>
    <t>ผศ.ดร.จุติเทพ  วงษ์เพ็ชร์,
ผศ.ดร.ชูพันธุ์  ชมภูจันทร์,
ผศ.ดร.เกศวรา สิทธิโชค,
ผศ.ดร.ทรงศักดิ์  ภัทราวุฒิชัย,
นางสาวกาญจนาวรรณ นิลกลัด,
นายพัลลภ สุวรรณมาลัย,
นายนิพัทธ์ ทองประไพ,
นายพลเพชร สมานมิตร,
นางสาวณัฐธยาน์ นามอินทร์,
นายธีรศักดิ์ ซ้ายอ่อน</t>
  </si>
  <si>
    <t>สำนักงาน
การวิจัยแห่งชาติ (วช.)</t>
  </si>
  <si>
    <t>YF(KU)
37.68</t>
  </si>
  <si>
    <t>โมเดลคอมพิวเตอร์สำหรับบริหารจัดการฟาร์มโคนม</t>
  </si>
  <si>
    <t>อ.ธีรวัฒน์ หวายฤทธิ์</t>
  </si>
  <si>
    <t>ภาควิชา
วิศวกรรมคอมพิวเตอร์</t>
  </si>
  <si>
    <t>ทุนอุดหนุนวิจัยเพื่อพัฒนานักวิจัยรุ่นใหม่ มก. ปี 2568</t>
  </si>
  <si>
    <t>1) แอปพลิเคชันเพื่อการจัดการโคนมระดับฝูง TRL4
2) ต้นแบบอุปกรณ์ตรวจวัดพฤติกรรมโคนมรายตัวแบบทันที TRL7 + Heat detection24Hr. 100%
3) ต้นแบบเครื่องตรวจสอบสภาพอากาศในฟาร์มโคนม TRL7 + ขาย
4) ต้นแบบเครื่องวัดองค์ประกอบน้ำนมดิบด้วยเทคนิค NIRS TRL4</t>
  </si>
  <si>
    <t>ผศ.ดร.วรัญญา  อรรถเสนา, 
ผศ.ดร.บุญรัตน์ เผดิมรอด, 
น.สพ.ดร.ศุภชาติ ปานเนียม, 
รศ.อมรเดช พุทธิพิพัฒน์ขจร, 
รศ.ดร.อมรฤทธิ์ พุทธิพิพัฒน์ขจร, 
ร้อยโทอนุมัติ อิงคนินันท์, 
ผศ.ดร.พิเชษฐ์ สืบสายพรหม, 
รศ.ดร.ฐิติพงษ์  สถิรเมธีกุล
(Mentor)</t>
  </si>
  <si>
    <t>มีการบูรณาการองค์ความรู้ข้ามศาสตร์ระหว่างคณะวิศวกรรมศาสตร์ กำแพงแสน และคณะสัตวแพทยศาสตร์ มหาวิทยาลัยเกษตรศาสตร์</t>
  </si>
  <si>
    <t>เดือนกรกฎาคม 2568</t>
  </si>
  <si>
    <t>โครงการประมวลความรู้และจัดทำข้อเสนอการบริหารจัดการน้ำลุ่มน้ำแม่กลอง โดยใช้ประโยชน์จากผลงานวิจัย ระยะที่ 2</t>
  </si>
  <si>
    <t>รศ.ดร.บัญชา ขวัญยืน</t>
  </si>
  <si>
    <t>ผศ.ดร.จุติเทพ วงษ์เพ็ชร์,
อ.พลเพชร สมานมิตร</t>
  </si>
  <si>
    <t>ดร.สุรีพร ณรงค์วงศ์วัฒนา,
อ.ดร.ยุรนันท์ บรรทัดจันทร์</t>
  </si>
  <si>
    <t>การพัฒนาเครื่องวิเคราะห์คุณภาพกากน้ำตาลแลพน้ำเชื่อม แบบพกพาด้วยเทคนิค NIR</t>
  </si>
  <si>
    <t>การพัฒนาเครื่องวิเคราะห์สีน้ำเชื่อมแบบพกพา สำหรับตรวจวัดคุณภาพในกระบวนการผลิต</t>
  </si>
  <si>
    <t>บริษัท มิตรผลวิจัย พัฒนาอ้อยและน้ำตาล จำกัด</t>
  </si>
  <si>
    <t>เดือนสิงหาคม 2568</t>
  </si>
  <si>
    <t>วศ.กพส.
บ.2/2568</t>
  </si>
  <si>
    <t>วศ.กพส.
10/2568</t>
  </si>
  <si>
    <t>ภาควิชา
วิศวกรรมโยธา</t>
  </si>
  <si>
    <t>การวิเคราะห์โครงสร้างจุลภาคของคอนกรีตรีไซเคิลที่ผสมขยะพลาสติกด้วยกล้องจุลทรรศน์อิเล็กตรอนแบบส่องกราด (SEM)</t>
  </si>
  <si>
    <t>รศ.กฤษณะ  จันทรโชติ</t>
  </si>
  <si>
    <t>นายภัทรพล  ชูราศรี</t>
  </si>
  <si>
    <t>ผศ.นงลักษณ์ เล็กรุ่งเรืองกิจ,
นายจิรัฐ  มั่นเกษม,
นายวีระพงษ์ กระแสธีป,
นางสาวธันยพร โส๊ะอ้น,
นางเนตรนภา วิชานงค์,
นายรัตนศักดิ์  ทรัพย์เย็น</t>
  </si>
  <si>
    <t>การอบรมและสาธิตการใช้เตาประหยัดพลังงานและเตาเบ๊บซี เพื่อเพิ่มมูลค่าน้ำมันพืชใช้แล้วและวัสดุเหลือใช้ทางการเกษตรให้เป็นเชื้อเพลิงความร้อน พ.ศ. 2568</t>
  </si>
  <si>
    <t>การพัฒนาพื้นที่เพื่อเตรียมความพร้อมรับมือกับปัญหาภัยแล้งและปัญหาอุทกภัยในพื้นที่เสี่ยงภัยที่มีความสำคัญทางเศรษฐกิจและสังคม</t>
  </si>
  <si>
    <t>PRP
6805031920</t>
  </si>
  <si>
    <t>รศ.ดร.สมชาย ดอนเจดีย์</t>
  </si>
  <si>
    <t>สำนักงานพัฒนาการวิจัยการเกษตร (องค์การมหาชน)</t>
  </si>
  <si>
    <t xml:space="preserve">นายชัยยะ พึ่งโพธิ์สภ,
รศ.ดร.วราวุธ  วุฒิวณิชย์,
ผศ.นิมิตร เฉิดฉันท์พิพัฒน์,
รศ.ดร.ศศรส  ใจจิตร์,
นายสรายุทธ  อิ่มใจ,
ผศ.ดร.เกศวรา สิทธิโชค,
รศ.ดร.จุฑา  พิชิตลำเค็ญ,
ผศ.ดร.จุติเทพ วงษ์เพ็ชร์,
ผศ.ดร.พิเชษฐ์ สืบสายพรหม,
นายวิเนตร แสนหาญ,
นายปรเมศวร์ จอนแจ้ง,
นายรสุ สืบสหการ,
นางสาวลพรรณพลอย ชาวเรือ,
นายณัฐพล  เสรีเผ่าวงษ์,
นายวีระพงษ์ กระแสธีป,
นางสาวอรุณมณี  นราวิริยะกุล,
นายณัฐพล วุฒิจันทร์,
นายเลอบุญ อุดมทรัพย์,
</t>
  </si>
  <si>
    <t>การพัฒนาระบบอัตโนมัติสำหรับงานบริการการศึกษาของนิสิตภาควิชาวิศวกรรมเกษตร คณะวิศวกรรมศาสตร์ กำแพงแสน ผ่านไลน์แอปพริเคชันแชทบอท</t>
  </si>
  <si>
    <t>วศ.กพส.
1/2568</t>
  </si>
  <si>
    <t>การใช้แอปพลิเคชั่นไลน์เพื่อการสื่อสารภายในคณะวิศวกรรมศาสตร์ กำแพงแสน</t>
  </si>
  <si>
    <t>ภาควิชา
วิศวกรรมเกษตร</t>
  </si>
  <si>
    <t>คณะวิศวกรรมศาสตร์
กำแพงแสน</t>
  </si>
  <si>
    <t>12 เดือน</t>
  </si>
  <si>
    <t>วศ.กพส.
2/2568</t>
  </si>
  <si>
    <t>การศึกษาความสามารถของระบบเสริมการระบายอากาศของบ้านจัดสรรขนาด 140 ตารางเมตร</t>
  </si>
  <si>
    <t>ผศ.ดร.วัชมา โพธิ์ทอง</t>
  </si>
  <si>
    <t>ศูนย์ทดสอบประตู หน้าต่าง และระบบผนังกระจกสำหรับงานอาคาร</t>
  </si>
  <si>
    <t>6 เดือน</t>
  </si>
  <si>
    <t>01208496
เรื่องเฉพาะทางวิศวกรรม
เครื่องกล</t>
  </si>
  <si>
    <t>วศ.กพส.
3/2568</t>
  </si>
  <si>
    <t>การพัฒนาเว็บไซต์ Eng Connect ด้วยการเพิ่มการแสดงผลการวิเคราะห์เชิงสถิติและการทำเหมืองข้อความ</t>
  </si>
  <si>
    <t>ผศ.ดร.ศศรส ใจจิตร์</t>
  </si>
  <si>
    <t>วศ.กพส.
4/2568</t>
  </si>
  <si>
    <t>การปรับปรุงความแม่นยำของสินค้าคงคลัง : กรณีศึกษาคลังสินค้าอุปกรณ์กีฬา</t>
  </si>
  <si>
    <t>ผศ.ดร.ภัทรพงษ์  ภาคภูมิ</t>
  </si>
  <si>
    <t xml:space="preserve"> 02206232
เรียนรู้และฝึกฝนการสร้างแบบจำลองและการคำนวณค่าพารามิเตอร์ต่างๆ</t>
  </si>
  <si>
    <t>วศ.กพส.
5/2568</t>
  </si>
  <si>
    <t>การไพโรไลซีสร่วมระหว่างพลาสติกและถ่านไฮโดรชาร์จากพลาสติก</t>
  </si>
  <si>
    <t>ผศ.สวัสดิ์  ภูมิสวัสดิ์</t>
  </si>
  <si>
    <t>01208448
พลังงานทดแทนเบื้องต้น</t>
  </si>
  <si>
    <t>วศ.กพส.
6/2568</t>
  </si>
  <si>
    <t>Establishing an optimal base-stock level for a periodic review system with a partial replenishment in the face of supply disruption</t>
  </si>
  <si>
    <t>02206231
ความน่าจะเป็นและสถิติวิศวกรรม</t>
  </si>
  <si>
    <t>02206231
ความน่าจะเป็นและสถิติวิศวกรรม,
02206498
ปัญหาพิเศษ</t>
  </si>
  <si>
    <t>นางสาวอรุณรัตน์ บุญปองหา</t>
  </si>
  <si>
    <t>ผศ.ดร.จิรเกียรติ  ทรายทอง</t>
  </si>
  <si>
    <t>วศ.กพส.
บ.3/2568</t>
  </si>
  <si>
    <t>การฝึกอบรมเชิงปฏิบัติการการผลิตกระถางเพาะชำจากวัสดุธรรมชาติด้วยเครื่องอัดกระถางแบบมือโยกและไฮดรอลิกเพื่อส่งเสริมเศรษฐกิจหมุนเวียนในระดับชุมชน พ.ศ. 2568</t>
  </si>
  <si>
    <t xml:space="preserve">นายรัตนศักดิ์ ทรัพย์เย็น	</t>
  </si>
  <si>
    <t>ผศ.นงลักษณ์ เล็กรุ่งเรืองกิจ,
นายจิรัฐ  มั่นเกษม,
นายวีระพงษ์ กระแสธีป,
นางสาวธันยพร โส๊ะอ้น,
นางเนตรนภา วิชานงค์,
นายภัทรพล  ชูราศรี</t>
  </si>
  <si>
    <t>เดือนกันยายน 2568</t>
  </si>
  <si>
    <t>การพัฒนาเทคนิคการปรับแก้การสะท้อนแสงสำหรับการสร้างภาพไฮเปอร์สเปกทรัลอินฟราเรดย่านใกล้ของมะพร้าวน้ำหอม</t>
  </si>
  <si>
    <t>เดือนพฤศจิกายน 2568</t>
  </si>
  <si>
    <t>ศ.ดร.อนุพันธ์ เทอดวงศ์วรกุล</t>
  </si>
  <si>
    <t>02201567
Multivariate data analysis for agricultural engineering research</t>
  </si>
  <si>
    <t>ก่อน = 2
หลัง = 4</t>
  </si>
  <si>
    <t>การเพิ่มประสิทธิภาพของกระพ้อลำเลียงสำหรับการขนถ่ายข้าวเปลือกโดยใช้การจำลองดีอีเอ็ม</t>
  </si>
  <si>
    <t>ผศ.ดร.ปรีดา  ปรากฎมาก</t>
  </si>
  <si>
    <t>ก่อน = 1
หลัง = 2</t>
  </si>
  <si>
    <t>02228556
แบบจำลอง CFD-DEM สำหรับวิศวกรรมเครื่องกลและพลังงาน</t>
  </si>
  <si>
    <t>การใช้ซอฟต์แวร์สาธารณะ Liggghts สำหรับจำลองการขนถ่ายวัสดุ</t>
  </si>
  <si>
    <t>วศ.กพส.
1/2569</t>
  </si>
  <si>
    <t>วศ.กพส.
2-2569</t>
  </si>
  <si>
    <t>ศึกษาวิจัยการวิเคราะห์จุดอ่อนเชิงระบบ
ด้านความมั่นคงปลอดภัยไชเบอร์ของ
ภาคครัฐและกรอบแนวทางการยกระดับ
ขีดความสามารถ</t>
  </si>
  <si>
    <t>สำนักงานการวิจัย
แห่งชาติ(วช.)</t>
  </si>
  <si>
    <t>ผศ.ดร.กายรัฐ เจริญราษฎร์,
ผศ.ดร.ทรงศักดิ์ ภัทราวุฒิชัย.
ผศ.ดร.เกศวรา สิทธิโชค,
ผศ.ดร.นิธิรัชต์ สงวนเดือน,
ผศ.ดร.จุติเทพ วงษ์เพ็ชร์</t>
  </si>
  <si>
    <t>การพัฒนาเทคโนโลยีดิจิทัลแพลตฟอร์มของการรวบรวมใบอ้อยเพื่อลดต้นทุน
โลจิสติกส์ และส่งเสริมการใช้ประโยชน์พลังงานทดแทนในอุตสาหกรรมอ้อยและน้ำตาลทราย</t>
  </si>
  <si>
    <t>อ.สยุมพร รัตนพันธ์,             
อ.ธิติพงศ์ โพธิสุทธิ์,            
นางสาวนันทนัช อนันทาวุฒิ, 
นายศักดิ์ชาย ทองเนื้องาม,    
นางสาวลลิตา ออมสิน,        
นางสวาขนิษฐา ออมสิน,     
นางสาวอรุณี สุขศรี,          
นางสาวปฐมาภรณ์ อุ่นเรือน,
นายภคพล จั่นคำ,            
นายภูฟ้า โรจนประชานารถ, 
นายปิยวัฒน์ กนกวรกาญจน์,
นายศักดิ์นริทร์ เสือคำราม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</si>
</sst>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87" formatCode="[$-187041E]d\ mmm\ yy;@"/>
  </numFmts>
  <fonts count="16" x14ac:knownFonts="1">
    <font>
      <sz val="11"/>
      <color theme="1"/>
      <name val="Tahoma"/>
      <family val="2"/>
      <charset val="222"/>
      <scheme val="minor"/>
    </font>
    <font>
      <sz val="11"/>
      <color theme="1"/>
      <name val="Tahoma"/>
      <family val="2"/>
      <charset val="222"/>
      <scheme val="minor"/>
    </font>
    <font>
      <sz val="14"/>
      <name val="TH Sarabun New"/>
      <family val="2"/>
    </font>
    <font>
      <sz val="11"/>
      <color theme="1"/>
      <name val="TH Sarabun New"/>
      <family val="2"/>
    </font>
    <font>
      <b/>
      <sz val="16"/>
      <name val="TH Sarabun New"/>
      <family val="2"/>
    </font>
    <font>
      <b/>
      <sz val="14"/>
      <name val="TH Sarabun New"/>
      <family val="2"/>
    </font>
    <font>
      <sz val="16"/>
      <color theme="1"/>
      <name val="TH Sarabun New"/>
      <family val="2"/>
    </font>
    <font>
      <sz val="14"/>
      <color theme="1"/>
      <name val="TH Sarabun New"/>
      <family val="2"/>
    </font>
    <font>
      <sz val="14"/>
      <color rgb="FF000000"/>
      <name val="TH Sarabun New"/>
      <family val="2"/>
    </font>
    <font>
      <sz val="14"/>
      <color rgb="FFFF0000"/>
      <name val="TH Sarabun New"/>
      <family val="2"/>
    </font>
    <font>
      <sz val="8"/>
      <name val="Tahoma"/>
      <family val="2"/>
      <charset val="222"/>
      <scheme val="minor"/>
    </font>
    <font>
      <sz val="16"/>
      <color rgb="FF000000"/>
      <name val="TH Sarabun New"/>
      <family val="2"/>
    </font>
    <font>
      <sz val="16"/>
      <color rgb="FF000000"/>
      <name val="TH SarabunPSK"/>
      <family val="2"/>
    </font>
    <font>
      <b/>
      <sz val="14"/>
      <color theme="1"/>
      <name val="TH Sarabun New"/>
      <family val="2"/>
    </font>
    <font>
      <sz val="26"/>
      <color theme="1"/>
      <name val="TH Sarabun New"/>
      <family val="2"/>
    </font>
    <font>
      <b/>
      <u val="singleAccounting"/>
      <sz val="22"/>
      <color theme="1"/>
      <name val="TH Sarabun New"/>
      <family val="2"/>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3" fillId="0" borderId="0" xfId="0" applyFont="1"/>
    <xf numFmtId="0" fontId="6" fillId="0" borderId="2" xfId="0" applyFont="1" applyBorder="1"/>
    <xf numFmtId="0" fontId="6" fillId="0" borderId="0" xfId="0" applyFont="1"/>
    <xf numFmtId="0" fontId="3" fillId="0" borderId="0" xfId="0" applyFont="1" applyAlignment="1">
      <alignment vertical="top"/>
    </xf>
    <xf numFmtId="0" fontId="5" fillId="0" borderId="2" xfId="0" applyFont="1" applyBorder="1" applyAlignment="1">
      <alignment horizontal="center" vertical="top"/>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7" fillId="0" borderId="2" xfId="0" applyFont="1" applyBorder="1" applyAlignment="1">
      <alignment horizontal="center" vertical="top" wrapText="1"/>
    </xf>
    <xf numFmtId="0" fontId="8" fillId="0" borderId="2" xfId="0" applyFont="1" applyBorder="1" applyAlignment="1">
      <alignment horizontal="center" vertical="top"/>
    </xf>
    <xf numFmtId="0" fontId="8" fillId="0" borderId="2" xfId="0" applyFont="1" applyBorder="1" applyAlignment="1">
      <alignment horizontal="left" vertical="top" wrapText="1"/>
    </xf>
    <xf numFmtId="0" fontId="8" fillId="0" borderId="2" xfId="0" applyFont="1" applyBorder="1" applyAlignment="1">
      <alignment horizontal="center" vertical="top" wrapText="1"/>
    </xf>
    <xf numFmtId="0" fontId="7" fillId="0" borderId="2" xfId="0" applyFont="1" applyBorder="1" applyAlignment="1">
      <alignment horizontal="center" vertical="top"/>
    </xf>
    <xf numFmtId="0" fontId="6" fillId="0" borderId="2" xfId="0" applyFont="1" applyBorder="1" applyAlignment="1">
      <alignment horizontal="center" vertical="top"/>
    </xf>
    <xf numFmtId="0" fontId="7" fillId="0" borderId="2" xfId="0" applyFont="1" applyBorder="1"/>
    <xf numFmtId="0" fontId="7" fillId="0" borderId="0" xfId="0" applyFont="1"/>
    <xf numFmtId="43" fontId="7" fillId="0" borderId="2" xfId="1" applyFont="1" applyBorder="1" applyAlignment="1">
      <alignment horizontal="center" vertical="top"/>
    </xf>
    <xf numFmtId="17" fontId="7" fillId="0" borderId="2" xfId="0" applyNumberFormat="1" applyFont="1" applyBorder="1" applyAlignment="1">
      <alignment horizontal="center" vertical="top"/>
    </xf>
    <xf numFmtId="0" fontId="6" fillId="0" borderId="2" xfId="0" applyFont="1" applyBorder="1" applyAlignment="1">
      <alignment horizontal="center" vertical="top" wrapText="1"/>
    </xf>
    <xf numFmtId="43" fontId="6" fillId="0" borderId="2" xfId="1" applyFont="1" applyBorder="1" applyAlignment="1">
      <alignment vertical="top"/>
    </xf>
    <xf numFmtId="17" fontId="6" fillId="0" borderId="2" xfId="0" applyNumberFormat="1" applyFont="1" applyBorder="1" applyAlignment="1">
      <alignment horizontal="center" vertical="top"/>
    </xf>
    <xf numFmtId="43" fontId="6" fillId="0" borderId="2" xfId="1" applyFont="1" applyBorder="1" applyAlignment="1">
      <alignment horizontal="center" vertical="top"/>
    </xf>
    <xf numFmtId="43" fontId="6" fillId="0" borderId="2" xfId="1" applyFont="1" applyBorder="1" applyAlignment="1">
      <alignment horizontal="center" vertical="top" wrapText="1"/>
    </xf>
    <xf numFmtId="0" fontId="7" fillId="0" borderId="0" xfId="0" applyFont="1" applyAlignment="1">
      <alignment vertical="top"/>
    </xf>
    <xf numFmtId="0" fontId="6" fillId="0" borderId="2" xfId="0" applyFont="1" applyBorder="1" applyAlignment="1">
      <alignment vertical="top"/>
    </xf>
    <xf numFmtId="0" fontId="6" fillId="0" borderId="0" xfId="0" applyFont="1" applyAlignment="1">
      <alignment vertical="top"/>
    </xf>
    <xf numFmtId="15" fontId="6" fillId="0" borderId="2" xfId="0" applyNumberFormat="1" applyFont="1" applyBorder="1" applyAlignment="1">
      <alignment horizontal="center" vertical="top"/>
    </xf>
    <xf numFmtId="0" fontId="11" fillId="0" borderId="2" xfId="0" applyFont="1" applyBorder="1" applyAlignment="1">
      <alignment horizontal="center" vertical="top"/>
    </xf>
    <xf numFmtId="0" fontId="11" fillId="0" borderId="2" xfId="0" applyFont="1" applyBorder="1" applyAlignment="1">
      <alignment horizontal="center" vertical="top" wrapText="1"/>
    </xf>
    <xf numFmtId="0" fontId="6" fillId="0" borderId="2" xfId="0" applyFont="1" applyBorder="1" applyAlignment="1">
      <alignment vertical="top" wrapText="1"/>
    </xf>
    <xf numFmtId="43" fontId="7" fillId="0" borderId="2" xfId="1" applyFont="1" applyBorder="1" applyAlignment="1">
      <alignment vertical="top"/>
    </xf>
    <xf numFmtId="0" fontId="7" fillId="0" borderId="2" xfId="0" applyFont="1" applyBorder="1" applyAlignment="1">
      <alignment vertical="top" wrapText="1"/>
    </xf>
    <xf numFmtId="0" fontId="7" fillId="0" borderId="2" xfId="0" applyFont="1" applyBorder="1" applyAlignment="1">
      <alignment vertical="top"/>
    </xf>
    <xf numFmtId="187" fontId="7" fillId="0" borderId="2" xfId="0" applyNumberFormat="1" applyFont="1" applyBorder="1" applyAlignment="1">
      <alignment horizontal="center" vertical="top"/>
    </xf>
    <xf numFmtId="43" fontId="12" fillId="0" borderId="2" xfId="1" applyFont="1" applyBorder="1" applyAlignment="1">
      <alignment vertical="top"/>
    </xf>
    <xf numFmtId="15" fontId="7" fillId="0" borderId="2" xfId="0" applyNumberFormat="1" applyFont="1" applyBorder="1" applyAlignment="1">
      <alignment horizontal="center" vertical="top"/>
    </xf>
    <xf numFmtId="0" fontId="13" fillId="0" borderId="2" xfId="0" applyFont="1" applyBorder="1" applyAlignment="1">
      <alignment horizontal="center" vertical="top" wrapText="1"/>
    </xf>
    <xf numFmtId="0" fontId="2" fillId="0" borderId="2" xfId="0" applyFont="1" applyBorder="1" applyAlignment="1">
      <alignment horizontal="center" vertical="top" wrapText="1"/>
    </xf>
    <xf numFmtId="0" fontId="13" fillId="0" borderId="2" xfId="0" applyFont="1" applyBorder="1" applyAlignment="1">
      <alignment horizontal="center" vertical="top"/>
    </xf>
    <xf numFmtId="0" fontId="7" fillId="0" borderId="0" xfId="0" applyFont="1" applyAlignment="1">
      <alignment horizontal="center" vertical="top"/>
    </xf>
    <xf numFmtId="187" fontId="7" fillId="0" borderId="2" xfId="0" applyNumberFormat="1" applyFont="1" applyBorder="1" applyAlignment="1">
      <alignment horizontal="center" vertical="top" wrapText="1"/>
    </xf>
    <xf numFmtId="0" fontId="7" fillId="0" borderId="0" xfId="0" applyFont="1" applyAlignment="1">
      <alignment vertical="top" wrapText="1"/>
    </xf>
    <xf numFmtId="49" fontId="7" fillId="0" borderId="2" xfId="0" applyNumberFormat="1" applyFont="1" applyBorder="1" applyAlignment="1">
      <alignment horizontal="center" vertical="top"/>
    </xf>
    <xf numFmtId="0" fontId="14" fillId="0" borderId="0" xfId="0" applyFont="1"/>
    <xf numFmtId="43" fontId="15" fillId="2" borderId="0" xfId="0" applyNumberFormat="1" applyFont="1" applyFill="1"/>
    <xf numFmtId="0" fontId="6" fillId="0" borderId="0" xfId="0" applyFont="1" applyAlignment="1">
      <alignment horizontal="center" vertical="top" wrapText="1"/>
    </xf>
    <xf numFmtId="0" fontId="7" fillId="0" borderId="0" xfId="0" applyFont="1" applyAlignment="1">
      <alignment horizontal="center" vertical="top" wrapText="1"/>
    </xf>
    <xf numFmtId="43" fontId="7" fillId="0" borderId="0" xfId="1" applyFont="1" applyBorder="1" applyAlignment="1">
      <alignment vertical="top"/>
    </xf>
    <xf numFmtId="187" fontId="7" fillId="0" borderId="0" xfId="0" applyNumberFormat="1" applyFont="1" applyAlignment="1">
      <alignment horizontal="center" vertical="top"/>
    </xf>
    <xf numFmtId="43" fontId="7" fillId="0" borderId="0" xfId="1" applyFont="1"/>
    <xf numFmtId="43" fontId="7" fillId="0" borderId="0" xfId="0" applyNumberFormat="1" applyFont="1"/>
    <xf numFmtId="43" fontId="7" fillId="0" borderId="2" xfId="1" applyFont="1" applyBorder="1" applyAlignment="1">
      <alignment horizontal="center" vertical="top" wrapText="1"/>
    </xf>
    <xf numFmtId="0" fontId="3" fillId="0" borderId="0" xfId="0" applyFont="1" applyAlignment="1">
      <alignment horizontal="center"/>
    </xf>
    <xf numFmtId="0" fontId="5" fillId="0" borderId="2" xfId="0" applyFont="1" applyBorder="1" applyAlignment="1">
      <alignment horizontal="center" vertical="top"/>
    </xf>
    <xf numFmtId="0" fontId="5" fillId="0" borderId="2" xfId="0" applyFont="1" applyBorder="1" applyAlignment="1">
      <alignment horizontal="center" vertical="top" wrapText="1"/>
    </xf>
    <xf numFmtId="0" fontId="5" fillId="0" borderId="1" xfId="0" applyFont="1" applyBorder="1" applyAlignment="1">
      <alignment horizontal="center" vertical="top" wrapText="1"/>
    </xf>
    <xf numFmtId="0" fontId="5" fillId="0" borderId="3" xfId="0" applyFont="1" applyBorder="1" applyAlignment="1">
      <alignment horizontal="center" vertical="top"/>
    </xf>
    <xf numFmtId="0" fontId="4"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vertical="top" shrinkToFit="1"/>
    </xf>
    <xf numFmtId="0" fontId="5" fillId="0" borderId="3" xfId="0" applyFont="1" applyBorder="1" applyAlignment="1">
      <alignment horizontal="center" vertical="top" wrapText="1"/>
    </xf>
    <xf numFmtId="0" fontId="5" fillId="0" borderId="1" xfId="0" applyFont="1" applyBorder="1" applyAlignment="1">
      <alignment horizontal="center" vertical="top"/>
    </xf>
    <xf numFmtId="0" fontId="5" fillId="0" borderId="4" xfId="0" applyFont="1" applyBorder="1" applyAlignment="1">
      <alignment horizontal="center" vertical="top"/>
    </xf>
    <xf numFmtId="0" fontId="5" fillId="0" borderId="5" xfId="0" applyFont="1" applyBorder="1" applyAlignment="1">
      <alignment horizontal="center" vertical="top"/>
    </xf>
    <xf numFmtId="0" fontId="5" fillId="0" borderId="1" xfId="0" applyFont="1" applyBorder="1" applyAlignment="1">
      <alignment horizontal="center" vertical="top" textRotation="90"/>
    </xf>
    <xf numFmtId="0" fontId="5" fillId="0" borderId="3" xfId="0" applyFont="1" applyBorder="1" applyAlignment="1">
      <alignment horizontal="center" vertical="top" textRotation="90"/>
    </xf>
    <xf numFmtId="17" fontId="7" fillId="0" borderId="4" xfId="0" applyNumberFormat="1" applyFont="1" applyBorder="1" applyAlignment="1">
      <alignment horizontal="center" vertical="top" wrapText="1"/>
    </xf>
    <xf numFmtId="17" fontId="7" fillId="0" borderId="6" xfId="0" applyNumberFormat="1" applyFont="1" applyBorder="1" applyAlignment="1">
      <alignment horizontal="center"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top" wrapText="1"/>
    </xf>
  </cellXfs>
  <cellStyles count="2">
    <cellStyle name="จุลภาค" xfId="1" builtinId="3"/>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A5D7-5EBA-436B-AF72-4565C83EBF9B}">
  <dimension ref="A1:Z28"/>
  <sheetViews>
    <sheetView topLeftCell="A22" zoomScaleNormal="100" workbookViewId="0">
      <selection activeCell="D25" sqref="D25"/>
    </sheetView>
  </sheetViews>
  <sheetFormatPr defaultRowHeight="17.25" x14ac:dyDescent="0.4"/>
  <cols>
    <col min="1" max="1" width="5.25" style="1" customWidth="1"/>
    <col min="2" max="2" width="9.25" style="1" customWidth="1"/>
    <col min="3" max="3" width="26.5" style="1" customWidth="1"/>
    <col min="4" max="4" width="20.75" style="1" customWidth="1"/>
    <col min="5" max="5" width="23.5" style="1" customWidth="1"/>
    <col min="6" max="6" width="17.125" style="1" customWidth="1"/>
    <col min="7" max="7" width="7.375" style="1" customWidth="1"/>
    <col min="8" max="8" width="7.125" style="1" customWidth="1"/>
    <col min="9" max="9" width="7.625" style="1" customWidth="1"/>
    <col min="10" max="10" width="7.5" style="1" customWidth="1"/>
    <col min="11" max="11" width="16.375" style="1" customWidth="1"/>
    <col min="12" max="12" width="18.75" style="1" customWidth="1"/>
    <col min="13" max="13" width="18.375" style="1" customWidth="1"/>
    <col min="14" max="14" width="12" style="1" customWidth="1"/>
    <col min="15" max="15" width="10.625" style="1" customWidth="1"/>
    <col min="16" max="16" width="9.875" style="1" customWidth="1"/>
    <col min="17" max="17" width="9.125" style="1" customWidth="1"/>
    <col min="18" max="19" width="9" style="1" customWidth="1"/>
    <col min="20" max="20" width="8"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s="4" customFormat="1" ht="18.75" customHeight="1" x14ac:dyDescent="0.2">
      <c r="A2" s="55" t="s">
        <v>7</v>
      </c>
      <c r="B2" s="54" t="s">
        <v>9</v>
      </c>
      <c r="C2" s="53" t="s">
        <v>0</v>
      </c>
      <c r="D2" s="53" t="s">
        <v>1</v>
      </c>
      <c r="E2" s="61" t="s">
        <v>14</v>
      </c>
      <c r="F2" s="54" t="s">
        <v>8</v>
      </c>
      <c r="G2" s="53" t="s">
        <v>15</v>
      </c>
      <c r="H2" s="53"/>
      <c r="I2" s="62" t="s">
        <v>18</v>
      </c>
      <c r="J2" s="63"/>
      <c r="K2" s="62" t="s">
        <v>3</v>
      </c>
      <c r="L2" s="63"/>
      <c r="M2" s="53" t="s">
        <v>2</v>
      </c>
      <c r="N2" s="54" t="s">
        <v>35</v>
      </c>
      <c r="O2" s="54" t="s">
        <v>36</v>
      </c>
      <c r="P2" s="53" t="s">
        <v>4</v>
      </c>
      <c r="Q2" s="53"/>
      <c r="R2" s="53"/>
      <c r="S2" s="55" t="s">
        <v>21</v>
      </c>
      <c r="T2" s="61" t="s">
        <v>6</v>
      </c>
    </row>
    <row r="3" spans="1:20" s="4" customFormat="1" ht="108.75" x14ac:dyDescent="0.2">
      <c r="A3" s="60"/>
      <c r="B3" s="54"/>
      <c r="C3" s="53"/>
      <c r="D3" s="53"/>
      <c r="E3" s="56"/>
      <c r="F3" s="53"/>
      <c r="G3" s="7" t="s">
        <v>16</v>
      </c>
      <c r="H3" s="7" t="s">
        <v>17</v>
      </c>
      <c r="I3" s="7" t="s">
        <v>19</v>
      </c>
      <c r="J3" s="7" t="s">
        <v>20</v>
      </c>
      <c r="K3" s="5" t="s">
        <v>12</v>
      </c>
      <c r="L3" s="5" t="s">
        <v>13</v>
      </c>
      <c r="M3" s="53"/>
      <c r="N3" s="54"/>
      <c r="O3" s="54"/>
      <c r="P3" s="6" t="s">
        <v>11</v>
      </c>
      <c r="Q3" s="6" t="s">
        <v>10</v>
      </c>
      <c r="R3" s="6" t="s">
        <v>5</v>
      </c>
      <c r="S3" s="56"/>
      <c r="T3" s="56"/>
    </row>
    <row r="4" spans="1:20" s="23" customFormat="1" ht="43.5" x14ac:dyDescent="0.2">
      <c r="A4" s="12">
        <v>1</v>
      </c>
      <c r="B4" s="8" t="s">
        <v>99</v>
      </c>
      <c r="C4" s="8" t="s">
        <v>100</v>
      </c>
      <c r="D4" s="8" t="s">
        <v>125</v>
      </c>
      <c r="E4" s="36" t="s">
        <v>33</v>
      </c>
      <c r="F4" s="8" t="s">
        <v>101</v>
      </c>
      <c r="G4" s="37" t="s">
        <v>33</v>
      </c>
      <c r="H4" s="12" t="s">
        <v>33</v>
      </c>
      <c r="I4" s="12" t="s">
        <v>33</v>
      </c>
      <c r="J4" s="12" t="s">
        <v>33</v>
      </c>
      <c r="K4" s="16">
        <v>20000</v>
      </c>
      <c r="L4" s="38" t="s">
        <v>33</v>
      </c>
      <c r="M4" s="8" t="s">
        <v>102</v>
      </c>
      <c r="N4" s="8" t="s">
        <v>103</v>
      </c>
      <c r="O4" s="8"/>
      <c r="P4" s="8" t="s">
        <v>33</v>
      </c>
      <c r="Q4" s="8" t="s">
        <v>33</v>
      </c>
      <c r="R4" s="12" t="s">
        <v>33</v>
      </c>
      <c r="S4" s="12" t="s">
        <v>33</v>
      </c>
      <c r="T4" s="12"/>
    </row>
    <row r="5" spans="1:20" s="23" customFormat="1" ht="87" x14ac:dyDescent="0.2">
      <c r="A5" s="12">
        <v>2</v>
      </c>
      <c r="B5" s="8" t="s">
        <v>104</v>
      </c>
      <c r="C5" s="8" t="s">
        <v>105</v>
      </c>
      <c r="D5" s="8" t="s">
        <v>106</v>
      </c>
      <c r="E5" s="8" t="s">
        <v>33</v>
      </c>
      <c r="F5" s="8" t="s">
        <v>107</v>
      </c>
      <c r="G5" s="12" t="s">
        <v>33</v>
      </c>
      <c r="H5" s="12" t="s">
        <v>33</v>
      </c>
      <c r="I5" s="12" t="s">
        <v>33</v>
      </c>
      <c r="J5" s="12" t="s">
        <v>33</v>
      </c>
      <c r="K5" s="30">
        <v>20000</v>
      </c>
      <c r="L5" s="38" t="s">
        <v>33</v>
      </c>
      <c r="M5" s="8" t="s">
        <v>102</v>
      </c>
      <c r="N5" s="8" t="s">
        <v>108</v>
      </c>
      <c r="O5" s="8"/>
      <c r="P5" s="42" t="s">
        <v>33</v>
      </c>
      <c r="Q5" s="8" t="s">
        <v>109</v>
      </c>
      <c r="R5" s="12" t="s">
        <v>33</v>
      </c>
      <c r="S5" s="12" t="s">
        <v>33</v>
      </c>
      <c r="T5" s="12"/>
    </row>
    <row r="6" spans="1:20" s="15" customFormat="1" ht="65.25" x14ac:dyDescent="0.5">
      <c r="A6" s="12">
        <v>3</v>
      </c>
      <c r="B6" s="8" t="s">
        <v>110</v>
      </c>
      <c r="C6" s="8" t="s">
        <v>111</v>
      </c>
      <c r="D6" s="12" t="s">
        <v>112</v>
      </c>
      <c r="E6" s="12" t="s">
        <v>33</v>
      </c>
      <c r="F6" s="8" t="s">
        <v>37</v>
      </c>
      <c r="G6" s="12" t="s">
        <v>33</v>
      </c>
      <c r="H6" s="12" t="s">
        <v>33</v>
      </c>
      <c r="I6" s="12" t="s">
        <v>33</v>
      </c>
      <c r="J6" s="12" t="s">
        <v>33</v>
      </c>
      <c r="K6" s="30">
        <v>20000</v>
      </c>
      <c r="L6" s="12" t="s">
        <v>33</v>
      </c>
      <c r="M6" s="8" t="s">
        <v>102</v>
      </c>
      <c r="N6" s="12" t="s">
        <v>103</v>
      </c>
      <c r="O6" s="12"/>
      <c r="P6" s="12" t="s">
        <v>33</v>
      </c>
      <c r="Q6" s="12" t="s">
        <v>33</v>
      </c>
      <c r="R6" s="12" t="s">
        <v>33</v>
      </c>
      <c r="S6" s="12" t="s">
        <v>33</v>
      </c>
      <c r="T6" s="12"/>
    </row>
    <row r="7" spans="1:20" s="39" customFormat="1" ht="195.75" x14ac:dyDescent="0.2">
      <c r="A7" s="12">
        <v>4</v>
      </c>
      <c r="B7" s="8" t="s">
        <v>113</v>
      </c>
      <c r="C7" s="8" t="s">
        <v>114</v>
      </c>
      <c r="D7" s="12" t="s">
        <v>115</v>
      </c>
      <c r="E7" s="12" t="s">
        <v>33</v>
      </c>
      <c r="F7" s="8" t="s">
        <v>37</v>
      </c>
      <c r="G7" s="12" t="s">
        <v>33</v>
      </c>
      <c r="H7" s="12" t="s">
        <v>33</v>
      </c>
      <c r="I7" s="12" t="s">
        <v>33</v>
      </c>
      <c r="J7" s="12" t="s">
        <v>33</v>
      </c>
      <c r="K7" s="16">
        <v>20000</v>
      </c>
      <c r="L7" s="12" t="s">
        <v>33</v>
      </c>
      <c r="M7" s="8" t="s">
        <v>102</v>
      </c>
      <c r="N7" s="12" t="s">
        <v>108</v>
      </c>
      <c r="O7" s="12"/>
      <c r="P7" s="12" t="s">
        <v>33</v>
      </c>
      <c r="Q7" s="8" t="s">
        <v>116</v>
      </c>
      <c r="R7" s="12" t="s">
        <v>33</v>
      </c>
      <c r="S7" s="12" t="s">
        <v>33</v>
      </c>
      <c r="T7" s="12"/>
    </row>
    <row r="8" spans="1:20" s="39" customFormat="1" ht="87" x14ac:dyDescent="0.2">
      <c r="A8" s="12">
        <v>5</v>
      </c>
      <c r="B8" s="8" t="s">
        <v>117</v>
      </c>
      <c r="C8" s="8" t="s">
        <v>118</v>
      </c>
      <c r="D8" s="12" t="s">
        <v>119</v>
      </c>
      <c r="E8" s="12" t="s">
        <v>33</v>
      </c>
      <c r="F8" s="8" t="s">
        <v>45</v>
      </c>
      <c r="G8" s="12" t="s">
        <v>33</v>
      </c>
      <c r="H8" s="12" t="s">
        <v>33</v>
      </c>
      <c r="I8" s="12" t="s">
        <v>33</v>
      </c>
      <c r="J8" s="12" t="s">
        <v>33</v>
      </c>
      <c r="K8" s="16">
        <v>40000</v>
      </c>
      <c r="L8" s="12" t="s">
        <v>33</v>
      </c>
      <c r="M8" s="8" t="s">
        <v>102</v>
      </c>
      <c r="N8" s="12" t="s">
        <v>103</v>
      </c>
      <c r="O8" s="12"/>
      <c r="P8" s="12" t="s">
        <v>33</v>
      </c>
      <c r="Q8" s="8" t="s">
        <v>120</v>
      </c>
      <c r="R8" s="12" t="s">
        <v>33</v>
      </c>
      <c r="S8" s="12" t="s">
        <v>33</v>
      </c>
      <c r="T8" s="12"/>
    </row>
    <row r="9" spans="1:20" s="39" customFormat="1" ht="152.25" x14ac:dyDescent="0.2">
      <c r="A9" s="12">
        <v>6</v>
      </c>
      <c r="B9" s="8" t="s">
        <v>121</v>
      </c>
      <c r="C9" s="8" t="s">
        <v>122</v>
      </c>
      <c r="D9" s="8" t="s">
        <v>126</v>
      </c>
      <c r="E9" s="12" t="s">
        <v>33</v>
      </c>
      <c r="F9" s="8" t="s">
        <v>37</v>
      </c>
      <c r="G9" s="12" t="s">
        <v>33</v>
      </c>
      <c r="H9" s="12" t="s">
        <v>33</v>
      </c>
      <c r="I9" s="12" t="s">
        <v>33</v>
      </c>
      <c r="J9" s="12" t="s">
        <v>33</v>
      </c>
      <c r="K9" s="16">
        <v>2000</v>
      </c>
      <c r="L9" s="12" t="s">
        <v>33</v>
      </c>
      <c r="M9" s="8" t="s">
        <v>102</v>
      </c>
      <c r="N9" s="12" t="s">
        <v>103</v>
      </c>
      <c r="O9" s="12"/>
      <c r="P9" s="8" t="s">
        <v>123</v>
      </c>
      <c r="Q9" s="8" t="s">
        <v>124</v>
      </c>
      <c r="R9" s="12" t="s">
        <v>33</v>
      </c>
      <c r="S9" s="12" t="s">
        <v>33</v>
      </c>
      <c r="T9" s="12"/>
    </row>
    <row r="10" spans="1:20" s="3" customFormat="1" ht="261" x14ac:dyDescent="0.55000000000000004">
      <c r="A10" s="12">
        <v>7</v>
      </c>
      <c r="B10" s="2"/>
      <c r="C10" s="8" t="s">
        <v>24</v>
      </c>
      <c r="D10" s="9" t="s">
        <v>25</v>
      </c>
      <c r="E10" s="10" t="s">
        <v>26</v>
      </c>
      <c r="F10" s="18" t="s">
        <v>32</v>
      </c>
      <c r="G10" s="13" t="s">
        <v>33</v>
      </c>
      <c r="H10" s="13" t="s">
        <v>33</v>
      </c>
      <c r="I10" s="13" t="s">
        <v>33</v>
      </c>
      <c r="J10" s="13" t="s">
        <v>33</v>
      </c>
      <c r="K10" s="21" t="s">
        <v>33</v>
      </c>
      <c r="L10" s="21">
        <v>3707000</v>
      </c>
      <c r="M10" s="22" t="s">
        <v>38</v>
      </c>
      <c r="N10" s="17">
        <v>24838</v>
      </c>
      <c r="O10" s="17">
        <v>25204</v>
      </c>
      <c r="P10" s="17" t="s">
        <v>33</v>
      </c>
      <c r="Q10" s="13" t="s">
        <v>33</v>
      </c>
      <c r="R10" s="13" t="s">
        <v>33</v>
      </c>
      <c r="S10" s="13" t="s">
        <v>33</v>
      </c>
      <c r="T10" s="13"/>
    </row>
    <row r="11" spans="1:20" s="3" customFormat="1" ht="174" x14ac:dyDescent="0.55000000000000004">
      <c r="A11" s="12">
        <v>8</v>
      </c>
      <c r="B11" s="2"/>
      <c r="C11" s="11" t="s">
        <v>41</v>
      </c>
      <c r="D11" s="12" t="s">
        <v>27</v>
      </c>
      <c r="E11" s="10" t="s">
        <v>40</v>
      </c>
      <c r="F11" s="18" t="s">
        <v>37</v>
      </c>
      <c r="G11" s="13" t="s">
        <v>33</v>
      </c>
      <c r="H11" s="13" t="s">
        <v>33</v>
      </c>
      <c r="I11" s="13" t="s">
        <v>33</v>
      </c>
      <c r="J11" s="13" t="s">
        <v>33</v>
      </c>
      <c r="K11" s="21" t="s">
        <v>33</v>
      </c>
      <c r="L11" s="19">
        <v>6543600</v>
      </c>
      <c r="M11" s="22" t="s">
        <v>39</v>
      </c>
      <c r="N11" s="20">
        <v>24716</v>
      </c>
      <c r="O11" s="20">
        <v>25082</v>
      </c>
      <c r="P11" s="20" t="s">
        <v>33</v>
      </c>
      <c r="Q11" s="13" t="s">
        <v>33</v>
      </c>
      <c r="R11" s="13" t="s">
        <v>33</v>
      </c>
      <c r="S11" s="13" t="s">
        <v>33</v>
      </c>
      <c r="T11" s="13"/>
    </row>
    <row r="12" spans="1:20" s="15" customFormat="1" ht="195.75" x14ac:dyDescent="0.5">
      <c r="A12" s="12">
        <v>9</v>
      </c>
      <c r="B12" s="14"/>
      <c r="C12" s="8" t="s">
        <v>29</v>
      </c>
      <c r="D12" s="9" t="s">
        <v>30</v>
      </c>
      <c r="E12" s="10" t="s">
        <v>31</v>
      </c>
      <c r="F12" s="8" t="s">
        <v>32</v>
      </c>
      <c r="G12" s="12" t="s">
        <v>33</v>
      </c>
      <c r="H12" s="12" t="s">
        <v>33</v>
      </c>
      <c r="I12" s="12" t="s">
        <v>33</v>
      </c>
      <c r="J12" s="12" t="s">
        <v>33</v>
      </c>
      <c r="K12" s="16">
        <v>0</v>
      </c>
      <c r="L12" s="16">
        <v>7658000</v>
      </c>
      <c r="M12" s="8" t="s">
        <v>34</v>
      </c>
      <c r="N12" s="17">
        <v>24959</v>
      </c>
      <c r="O12" s="17">
        <v>25324</v>
      </c>
      <c r="P12" s="17" t="s">
        <v>33</v>
      </c>
      <c r="Q12" s="12" t="s">
        <v>33</v>
      </c>
      <c r="R12" s="12" t="s">
        <v>33</v>
      </c>
      <c r="S12" s="12" t="s">
        <v>33</v>
      </c>
      <c r="T12" s="14"/>
    </row>
    <row r="13" spans="1:20" s="23" customFormat="1" ht="144" x14ac:dyDescent="0.2">
      <c r="A13" s="12">
        <v>10</v>
      </c>
      <c r="B13" s="18" t="s">
        <v>52</v>
      </c>
      <c r="C13" s="18" t="s">
        <v>43</v>
      </c>
      <c r="D13" s="27" t="s">
        <v>44</v>
      </c>
      <c r="E13" s="28" t="s">
        <v>33</v>
      </c>
      <c r="F13" s="18" t="s">
        <v>45</v>
      </c>
      <c r="G13" s="13" t="s">
        <v>33</v>
      </c>
      <c r="H13" s="13" t="s">
        <v>33</v>
      </c>
      <c r="I13" s="13" t="s">
        <v>33</v>
      </c>
      <c r="J13" s="13" t="s">
        <v>33</v>
      </c>
      <c r="K13" s="21">
        <v>40000</v>
      </c>
      <c r="L13" s="21" t="s">
        <v>33</v>
      </c>
      <c r="M13" s="18" t="s">
        <v>46</v>
      </c>
      <c r="N13" s="20">
        <v>24990</v>
      </c>
      <c r="O13" s="20">
        <v>25355</v>
      </c>
      <c r="P13" s="18" t="s">
        <v>55</v>
      </c>
      <c r="Q13" s="13" t="s">
        <v>33</v>
      </c>
      <c r="R13" s="13" t="s">
        <v>33</v>
      </c>
      <c r="S13" s="18" t="s">
        <v>56</v>
      </c>
      <c r="T13" s="18"/>
    </row>
    <row r="14" spans="1:20" s="25" customFormat="1" ht="96" x14ac:dyDescent="0.2">
      <c r="A14" s="12">
        <v>11</v>
      </c>
      <c r="B14" s="18" t="s">
        <v>53</v>
      </c>
      <c r="C14" s="28" t="s">
        <v>51</v>
      </c>
      <c r="D14" s="13" t="s">
        <v>47</v>
      </c>
      <c r="E14" s="28" t="s">
        <v>33</v>
      </c>
      <c r="F14" s="18" t="s">
        <v>45</v>
      </c>
      <c r="G14" s="13" t="s">
        <v>33</v>
      </c>
      <c r="H14" s="13" t="s">
        <v>33</v>
      </c>
      <c r="I14" s="13" t="s">
        <v>33</v>
      </c>
      <c r="J14" s="13" t="s">
        <v>33</v>
      </c>
      <c r="K14" s="19">
        <v>40000</v>
      </c>
      <c r="L14" s="13" t="s">
        <v>33</v>
      </c>
      <c r="M14" s="18" t="s">
        <v>46</v>
      </c>
      <c r="N14" s="20">
        <v>24990</v>
      </c>
      <c r="O14" s="20">
        <v>25355</v>
      </c>
      <c r="P14" s="18" t="s">
        <v>57</v>
      </c>
      <c r="Q14" s="13" t="s">
        <v>33</v>
      </c>
      <c r="R14" s="13" t="s">
        <v>33</v>
      </c>
      <c r="S14" s="13" t="s">
        <v>33</v>
      </c>
      <c r="T14" s="13"/>
    </row>
    <row r="15" spans="1:20" s="4" customFormat="1" ht="120" x14ac:dyDescent="0.2">
      <c r="A15" s="12">
        <v>12</v>
      </c>
      <c r="B15" s="18" t="s">
        <v>54</v>
      </c>
      <c r="C15" s="28" t="s">
        <v>98</v>
      </c>
      <c r="D15" s="13" t="s">
        <v>58</v>
      </c>
      <c r="E15" s="28" t="s">
        <v>33</v>
      </c>
      <c r="F15" s="18" t="s">
        <v>45</v>
      </c>
      <c r="G15" s="13" t="s">
        <v>33</v>
      </c>
      <c r="H15" s="13" t="s">
        <v>33</v>
      </c>
      <c r="I15" s="13" t="s">
        <v>33</v>
      </c>
      <c r="J15" s="13" t="s">
        <v>33</v>
      </c>
      <c r="K15" s="19">
        <v>20000</v>
      </c>
      <c r="L15" s="13" t="s">
        <v>33</v>
      </c>
      <c r="M15" s="18" t="s">
        <v>46</v>
      </c>
      <c r="N15" s="20">
        <v>24990</v>
      </c>
      <c r="O15" s="20">
        <v>25720</v>
      </c>
      <c r="P15" s="13" t="s">
        <v>33</v>
      </c>
      <c r="Q15" s="13" t="s">
        <v>33</v>
      </c>
      <c r="R15" s="13" t="s">
        <v>33</v>
      </c>
      <c r="S15" s="13" t="s">
        <v>33</v>
      </c>
      <c r="T15" s="13"/>
    </row>
    <row r="16" spans="1:20" s="4" customFormat="1" ht="216" x14ac:dyDescent="0.2">
      <c r="A16" s="12">
        <v>13</v>
      </c>
      <c r="B16" s="18" t="s">
        <v>59</v>
      </c>
      <c r="C16" s="28" t="s">
        <v>48</v>
      </c>
      <c r="D16" s="13" t="s">
        <v>49</v>
      </c>
      <c r="E16" s="28" t="s">
        <v>62</v>
      </c>
      <c r="F16" s="18" t="s">
        <v>50</v>
      </c>
      <c r="G16" s="13" t="s">
        <v>33</v>
      </c>
      <c r="H16" s="13" t="s">
        <v>33</v>
      </c>
      <c r="I16" s="13" t="s">
        <v>33</v>
      </c>
      <c r="J16" s="13" t="s">
        <v>33</v>
      </c>
      <c r="K16" s="19">
        <v>30000</v>
      </c>
      <c r="L16" s="13" t="s">
        <v>33</v>
      </c>
      <c r="M16" s="18" t="s">
        <v>46</v>
      </c>
      <c r="N16" s="26">
        <v>25004</v>
      </c>
      <c r="O16" s="26">
        <v>25186</v>
      </c>
      <c r="P16" s="18" t="s">
        <v>60</v>
      </c>
      <c r="Q16" s="13" t="s">
        <v>33</v>
      </c>
      <c r="R16" s="18" t="s">
        <v>61</v>
      </c>
      <c r="S16" s="13" t="s">
        <v>33</v>
      </c>
      <c r="T16" s="13"/>
    </row>
    <row r="17" spans="1:26" s="23" customFormat="1" ht="240" x14ac:dyDescent="0.2">
      <c r="A17" s="12">
        <v>14</v>
      </c>
      <c r="B17" s="24"/>
      <c r="C17" s="18" t="s">
        <v>65</v>
      </c>
      <c r="D17" s="13" t="s">
        <v>63</v>
      </c>
      <c r="E17" s="29" t="s">
        <v>66</v>
      </c>
      <c r="F17" s="18" t="s">
        <v>64</v>
      </c>
      <c r="G17" s="13" t="s">
        <v>33</v>
      </c>
      <c r="H17" s="13" t="s">
        <v>33</v>
      </c>
      <c r="I17" s="13" t="s">
        <v>33</v>
      </c>
      <c r="J17" s="13" t="s">
        <v>33</v>
      </c>
      <c r="K17" s="19">
        <v>0</v>
      </c>
      <c r="L17" s="19">
        <v>1000000</v>
      </c>
      <c r="M17" s="18" t="s">
        <v>67</v>
      </c>
      <c r="N17" s="26">
        <v>24990</v>
      </c>
      <c r="O17" s="26">
        <v>25355</v>
      </c>
      <c r="P17" s="13" t="s">
        <v>33</v>
      </c>
      <c r="Q17" s="13" t="s">
        <v>33</v>
      </c>
      <c r="R17" s="13" t="s">
        <v>33</v>
      </c>
      <c r="S17" s="13" t="s">
        <v>33</v>
      </c>
      <c r="T17" s="13"/>
    </row>
    <row r="18" spans="1:26" s="25" customFormat="1" ht="72" x14ac:dyDescent="0.2">
      <c r="A18" s="12">
        <v>15</v>
      </c>
      <c r="B18" s="24"/>
      <c r="C18" s="18" t="s">
        <v>81</v>
      </c>
      <c r="D18" s="13" t="s">
        <v>30</v>
      </c>
      <c r="E18" s="29" t="s">
        <v>80</v>
      </c>
      <c r="F18" s="18" t="s">
        <v>32</v>
      </c>
      <c r="G18" s="13" t="s">
        <v>33</v>
      </c>
      <c r="H18" s="13" t="s">
        <v>33</v>
      </c>
      <c r="I18" s="13" t="s">
        <v>33</v>
      </c>
      <c r="J18" s="13" t="s">
        <v>33</v>
      </c>
      <c r="K18" s="13" t="s">
        <v>33</v>
      </c>
      <c r="L18" s="19">
        <v>2500000</v>
      </c>
      <c r="M18" s="18" t="s">
        <v>83</v>
      </c>
      <c r="N18" s="26">
        <v>24898</v>
      </c>
      <c r="O18" s="26">
        <v>24990</v>
      </c>
      <c r="P18" s="26" t="s">
        <v>33</v>
      </c>
      <c r="Q18" s="13" t="s">
        <v>33</v>
      </c>
      <c r="R18" s="13" t="s">
        <v>33</v>
      </c>
      <c r="S18" s="13" t="s">
        <v>33</v>
      </c>
      <c r="T18" s="13"/>
    </row>
    <row r="19" spans="1:26" s="25" customFormat="1" ht="72" x14ac:dyDescent="0.2">
      <c r="A19" s="12">
        <v>16</v>
      </c>
      <c r="B19" s="24"/>
      <c r="C19" s="18" t="s">
        <v>82</v>
      </c>
      <c r="D19" s="13" t="s">
        <v>30</v>
      </c>
      <c r="E19" s="29" t="s">
        <v>80</v>
      </c>
      <c r="F19" s="18" t="s">
        <v>32</v>
      </c>
      <c r="G19" s="13" t="s">
        <v>33</v>
      </c>
      <c r="H19" s="13" t="s">
        <v>33</v>
      </c>
      <c r="I19" s="13" t="s">
        <v>33</v>
      </c>
      <c r="J19" s="13" t="s">
        <v>33</v>
      </c>
      <c r="K19" s="13" t="s">
        <v>33</v>
      </c>
      <c r="L19" s="19">
        <v>300000</v>
      </c>
      <c r="M19" s="18" t="s">
        <v>83</v>
      </c>
      <c r="N19" s="26">
        <v>24898</v>
      </c>
      <c r="O19" s="26">
        <v>24990</v>
      </c>
      <c r="P19" s="26" t="s">
        <v>33</v>
      </c>
      <c r="Q19" s="13" t="s">
        <v>33</v>
      </c>
      <c r="R19" s="13" t="s">
        <v>33</v>
      </c>
      <c r="S19" s="13" t="s">
        <v>33</v>
      </c>
      <c r="T19" s="13"/>
    </row>
    <row r="20" spans="1:26" s="23" customFormat="1" ht="310.5" customHeight="1" x14ac:dyDescent="0.2">
      <c r="A20" s="12">
        <v>17</v>
      </c>
      <c r="B20" s="8" t="s">
        <v>68</v>
      </c>
      <c r="C20" s="8" t="s">
        <v>69</v>
      </c>
      <c r="D20" s="12" t="s">
        <v>70</v>
      </c>
      <c r="E20" s="31" t="s">
        <v>74</v>
      </c>
      <c r="F20" s="8" t="s">
        <v>71</v>
      </c>
      <c r="G20" s="12" t="s">
        <v>33</v>
      </c>
      <c r="H20" s="12" t="s">
        <v>33</v>
      </c>
      <c r="I20" s="12" t="s">
        <v>33</v>
      </c>
      <c r="J20" s="12" t="s">
        <v>33</v>
      </c>
      <c r="K20" s="30">
        <v>300000</v>
      </c>
      <c r="L20" s="30">
        <v>0</v>
      </c>
      <c r="M20" s="8" t="s">
        <v>72</v>
      </c>
      <c r="N20" s="17">
        <v>25020</v>
      </c>
      <c r="O20" s="17">
        <v>25385</v>
      </c>
      <c r="P20" s="66" t="s">
        <v>75</v>
      </c>
      <c r="Q20" s="67"/>
      <c r="R20" s="67"/>
      <c r="S20" s="68" t="s">
        <v>73</v>
      </c>
      <c r="T20" s="69"/>
      <c r="Y20" s="41"/>
      <c r="Z20" s="41"/>
    </row>
    <row r="21" spans="1:26" s="23" customFormat="1" ht="87" x14ac:dyDescent="0.2">
      <c r="A21" s="12">
        <v>18</v>
      </c>
      <c r="B21" s="32"/>
      <c r="C21" s="8" t="s">
        <v>77</v>
      </c>
      <c r="D21" s="12" t="s">
        <v>78</v>
      </c>
      <c r="E21" s="31" t="s">
        <v>79</v>
      </c>
      <c r="F21" s="8" t="s">
        <v>64</v>
      </c>
      <c r="G21" s="12" t="s">
        <v>33</v>
      </c>
      <c r="H21" s="12" t="s">
        <v>33</v>
      </c>
      <c r="I21" s="12" t="s">
        <v>33</v>
      </c>
      <c r="J21" s="12" t="s">
        <v>33</v>
      </c>
      <c r="K21" s="16" t="s">
        <v>33</v>
      </c>
      <c r="L21" s="30">
        <v>969000</v>
      </c>
      <c r="M21" s="8" t="s">
        <v>34</v>
      </c>
      <c r="N21" s="17">
        <v>25020</v>
      </c>
      <c r="O21" s="17">
        <v>25385</v>
      </c>
      <c r="P21" s="17" t="s">
        <v>33</v>
      </c>
      <c r="Q21" s="12" t="s">
        <v>33</v>
      </c>
      <c r="R21" s="12" t="s">
        <v>33</v>
      </c>
      <c r="S21" s="12" t="s">
        <v>33</v>
      </c>
      <c r="T21" s="32"/>
    </row>
    <row r="22" spans="1:26" s="23" customFormat="1" ht="393.75" customHeight="1" x14ac:dyDescent="0.2">
      <c r="A22" s="12">
        <v>19</v>
      </c>
      <c r="B22" s="8" t="s">
        <v>94</v>
      </c>
      <c r="C22" s="8" t="s">
        <v>93</v>
      </c>
      <c r="D22" s="12" t="s">
        <v>95</v>
      </c>
      <c r="E22" s="31" t="s">
        <v>97</v>
      </c>
      <c r="F22" s="8" t="s">
        <v>64</v>
      </c>
      <c r="G22" s="12" t="s">
        <v>33</v>
      </c>
      <c r="H22" s="12" t="s">
        <v>33</v>
      </c>
      <c r="I22" s="12" t="s">
        <v>33</v>
      </c>
      <c r="J22" s="12" t="s">
        <v>33</v>
      </c>
      <c r="K22" s="12" t="s">
        <v>33</v>
      </c>
      <c r="L22" s="34">
        <v>14500000</v>
      </c>
      <c r="M22" s="8" t="s">
        <v>96</v>
      </c>
      <c r="N22" s="35">
        <v>25044</v>
      </c>
      <c r="O22" s="35">
        <v>25408</v>
      </c>
      <c r="P22" s="35" t="s">
        <v>33</v>
      </c>
      <c r="Q22" s="12" t="s">
        <v>33</v>
      </c>
      <c r="R22" s="12" t="s">
        <v>33</v>
      </c>
      <c r="S22" s="12" t="s">
        <v>33</v>
      </c>
      <c r="T22" s="32"/>
    </row>
    <row r="23" spans="1:26" s="23" customFormat="1" ht="132" customHeight="1" x14ac:dyDescent="0.2">
      <c r="A23" s="12">
        <v>20</v>
      </c>
      <c r="B23" s="18" t="s">
        <v>85</v>
      </c>
      <c r="C23" s="8" t="s">
        <v>92</v>
      </c>
      <c r="D23" s="12" t="s">
        <v>90</v>
      </c>
      <c r="E23" s="31" t="s">
        <v>91</v>
      </c>
      <c r="F23" s="18" t="s">
        <v>50</v>
      </c>
      <c r="G23" s="12" t="s">
        <v>33</v>
      </c>
      <c r="H23" s="12" t="s">
        <v>33</v>
      </c>
      <c r="I23" s="12" t="s">
        <v>33</v>
      </c>
      <c r="J23" s="12" t="s">
        <v>33</v>
      </c>
      <c r="K23" s="30">
        <v>30000</v>
      </c>
      <c r="L23" s="30">
        <v>0</v>
      </c>
      <c r="M23" s="18" t="s">
        <v>46</v>
      </c>
      <c r="N23" s="33">
        <v>45884</v>
      </c>
      <c r="O23" s="33">
        <v>45883</v>
      </c>
      <c r="P23" s="33" t="s">
        <v>33</v>
      </c>
      <c r="Q23" s="12" t="s">
        <v>33</v>
      </c>
      <c r="R23" s="12" t="s">
        <v>33</v>
      </c>
      <c r="S23" s="12" t="s">
        <v>33</v>
      </c>
      <c r="T23" s="31"/>
    </row>
    <row r="24" spans="1:26" s="23" customFormat="1" ht="87" x14ac:dyDescent="0.2">
      <c r="A24" s="12">
        <v>21</v>
      </c>
      <c r="B24" s="18" t="s">
        <v>86</v>
      </c>
      <c r="C24" s="8" t="s">
        <v>88</v>
      </c>
      <c r="D24" s="12" t="s">
        <v>89</v>
      </c>
      <c r="E24" s="8" t="s">
        <v>33</v>
      </c>
      <c r="F24" s="18" t="s">
        <v>87</v>
      </c>
      <c r="G24" s="12" t="s">
        <v>33</v>
      </c>
      <c r="H24" s="12" t="s">
        <v>33</v>
      </c>
      <c r="I24" s="12" t="s">
        <v>33</v>
      </c>
      <c r="J24" s="12" t="s">
        <v>33</v>
      </c>
      <c r="K24" s="30">
        <v>40000</v>
      </c>
      <c r="L24" s="30">
        <v>0</v>
      </c>
      <c r="M24" s="18" t="s">
        <v>46</v>
      </c>
      <c r="N24" s="33">
        <v>45887</v>
      </c>
      <c r="O24" s="33">
        <v>46251</v>
      </c>
      <c r="P24" s="33" t="s">
        <v>33</v>
      </c>
      <c r="Q24" s="12" t="s">
        <v>33</v>
      </c>
      <c r="R24" s="12" t="s">
        <v>33</v>
      </c>
      <c r="S24" s="12" t="s">
        <v>33</v>
      </c>
      <c r="T24" s="32"/>
    </row>
    <row r="25" spans="1:26" s="23" customFormat="1" ht="132" customHeight="1" x14ac:dyDescent="0.2">
      <c r="A25" s="12">
        <v>22</v>
      </c>
      <c r="B25" s="18" t="s">
        <v>127</v>
      </c>
      <c r="C25" s="8" t="s">
        <v>128</v>
      </c>
      <c r="D25" s="12" t="s">
        <v>129</v>
      </c>
      <c r="E25" s="31" t="s">
        <v>130</v>
      </c>
      <c r="F25" s="18" t="s">
        <v>50</v>
      </c>
      <c r="G25" s="12" t="s">
        <v>33</v>
      </c>
      <c r="H25" s="12" t="s">
        <v>33</v>
      </c>
      <c r="I25" s="12" t="s">
        <v>33</v>
      </c>
      <c r="J25" s="12" t="s">
        <v>33</v>
      </c>
      <c r="K25" s="30">
        <v>30000</v>
      </c>
      <c r="L25" s="30">
        <v>0</v>
      </c>
      <c r="M25" s="18" t="s">
        <v>46</v>
      </c>
      <c r="N25" s="33">
        <v>45915</v>
      </c>
      <c r="O25" s="33">
        <v>46067</v>
      </c>
      <c r="P25" s="33" t="s">
        <v>33</v>
      </c>
      <c r="Q25" s="12" t="s">
        <v>33</v>
      </c>
      <c r="R25" s="12" t="s">
        <v>33</v>
      </c>
      <c r="S25" s="12" t="s">
        <v>33</v>
      </c>
      <c r="T25" s="31"/>
    </row>
    <row r="26" spans="1:26" s="23" customFormat="1" ht="132" customHeight="1" x14ac:dyDescent="0.2">
      <c r="A26" s="39"/>
      <c r="B26" s="45"/>
      <c r="C26" s="46"/>
      <c r="D26" s="39"/>
      <c r="E26" s="41"/>
      <c r="F26" s="45"/>
      <c r="G26" s="39"/>
      <c r="H26" s="39"/>
      <c r="I26" s="39"/>
      <c r="J26" s="39"/>
      <c r="K26" s="47">
        <v>2000</v>
      </c>
      <c r="L26" s="47">
        <v>60000</v>
      </c>
      <c r="M26" s="45"/>
      <c r="N26" s="48"/>
      <c r="O26" s="48"/>
      <c r="P26" s="48"/>
      <c r="Q26" s="39"/>
      <c r="R26" s="39"/>
      <c r="S26" s="39"/>
      <c r="T26" s="41"/>
    </row>
    <row r="27" spans="1:26" s="23" customFormat="1" ht="132" customHeight="1" x14ac:dyDescent="0.2">
      <c r="A27" s="39"/>
      <c r="B27" s="45"/>
      <c r="C27" s="46"/>
      <c r="D27" s="39"/>
      <c r="E27" s="41"/>
      <c r="F27" s="45"/>
      <c r="G27" s="39"/>
      <c r="H27" s="39"/>
      <c r="I27" s="39"/>
      <c r="J27" s="39"/>
      <c r="K27" s="47"/>
      <c r="L27" s="47"/>
      <c r="M27" s="45"/>
      <c r="N27" s="48"/>
      <c r="O27" s="48"/>
      <c r="P27" s="48"/>
      <c r="Q27" s="39"/>
      <c r="R27" s="39"/>
      <c r="S27" s="39"/>
      <c r="T27" s="41"/>
    </row>
    <row r="28" spans="1:26" s="43" customFormat="1" ht="39.75" x14ac:dyDescent="0.9">
      <c r="K28" s="44">
        <f>SUM(K23:K27)</f>
        <v>102000</v>
      </c>
      <c r="L28" s="44">
        <f>SUM(L17:L26)</f>
        <v>19329000</v>
      </c>
    </row>
  </sheetData>
  <mergeCells count="18">
    <mergeCell ref="P20:R20"/>
    <mergeCell ref="S20:T20"/>
    <mergeCell ref="T2:T3"/>
    <mergeCell ref="A1:T1"/>
    <mergeCell ref="A2:A3"/>
    <mergeCell ref="B2:B3"/>
    <mergeCell ref="C2:C3"/>
    <mergeCell ref="D2:D3"/>
    <mergeCell ref="E2:E3"/>
    <mergeCell ref="F2:F3"/>
    <mergeCell ref="G2:H2"/>
    <mergeCell ref="I2:J2"/>
    <mergeCell ref="K2:L2"/>
    <mergeCell ref="M2:M3"/>
    <mergeCell ref="N2:N3"/>
    <mergeCell ref="P2:R2"/>
    <mergeCell ref="S2:S3"/>
    <mergeCell ref="O2:O3"/>
  </mergeCells>
  <pageMargins left="0.23622047244094491" right="0" top="0.51181102362204722" bottom="0" header="0.51181102362204722" footer="0"/>
  <pageSetup scale="68"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
  <sheetViews>
    <sheetView topLeftCell="A5" zoomScale="120" zoomScaleNormal="120" workbookViewId="0">
      <selection activeCell="E6" sqref="E6"/>
    </sheetView>
  </sheetViews>
  <sheetFormatPr defaultRowHeight="21.75" x14ac:dyDescent="0.5"/>
  <cols>
    <col min="1" max="1" width="5.25" style="1" customWidth="1"/>
    <col min="2" max="2" width="9.25" style="1" customWidth="1"/>
    <col min="3" max="3" width="25.75" style="1" customWidth="1"/>
    <col min="4" max="4" width="18.625" style="1" customWidth="1"/>
    <col min="5" max="5" width="22.625" style="52" customWidth="1"/>
    <col min="6" max="6" width="17.25" style="1" customWidth="1"/>
    <col min="7" max="7" width="7.375" style="1" customWidth="1"/>
    <col min="8" max="8" width="7.125" style="1" customWidth="1"/>
    <col min="9" max="9" width="7.625" style="1" customWidth="1"/>
    <col min="10" max="10" width="7.5" style="1" customWidth="1"/>
    <col min="11" max="11" width="9.75" style="1" customWidth="1"/>
    <col min="12" max="12" width="13.125" style="15" customWidth="1"/>
    <col min="13" max="13" width="17.5" style="15" customWidth="1"/>
    <col min="14" max="14" width="10.5" style="1" customWidth="1"/>
    <col min="15" max="15" width="10.75" style="1" customWidth="1"/>
    <col min="16" max="16" width="9.875" style="1" customWidth="1"/>
    <col min="17" max="17" width="9.125" style="1" customWidth="1"/>
    <col min="18" max="19" width="9" style="1" customWidth="1"/>
    <col min="20" max="20" width="8"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23</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1" t="s">
        <v>6</v>
      </c>
    </row>
    <row r="4" spans="1:20" s="4" customFormat="1" ht="96"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56"/>
    </row>
    <row r="5" spans="1:20" s="3" customFormat="1" ht="261" x14ac:dyDescent="0.55000000000000004">
      <c r="A5" s="12">
        <v>1</v>
      </c>
      <c r="B5" s="2"/>
      <c r="C5" s="8" t="s">
        <v>24</v>
      </c>
      <c r="D5" s="9" t="s">
        <v>25</v>
      </c>
      <c r="E5" s="11" t="s">
        <v>148</v>
      </c>
      <c r="F5" s="8" t="s">
        <v>32</v>
      </c>
      <c r="G5" s="13" t="s">
        <v>33</v>
      </c>
      <c r="H5" s="13" t="s">
        <v>33</v>
      </c>
      <c r="I5" s="13" t="s">
        <v>33</v>
      </c>
      <c r="J5" s="13" t="s">
        <v>33</v>
      </c>
      <c r="K5" s="21" t="s">
        <v>33</v>
      </c>
      <c r="L5" s="16">
        <v>3707000</v>
      </c>
      <c r="M5" s="51" t="s">
        <v>38</v>
      </c>
      <c r="N5" s="17">
        <v>24838</v>
      </c>
      <c r="O5" s="17">
        <v>25204</v>
      </c>
      <c r="P5" s="2"/>
      <c r="Q5" s="2"/>
      <c r="R5" s="2"/>
      <c r="S5" s="2"/>
      <c r="T5" s="2"/>
    </row>
    <row r="6" spans="1:20" s="3" customFormat="1" ht="174" x14ac:dyDescent="0.55000000000000004">
      <c r="A6" s="12">
        <v>2</v>
      </c>
      <c r="B6" s="2"/>
      <c r="C6" s="11" t="s">
        <v>147</v>
      </c>
      <c r="D6" s="12" t="s">
        <v>27</v>
      </c>
      <c r="E6" s="11" t="s">
        <v>40</v>
      </c>
      <c r="F6" s="8" t="s">
        <v>37</v>
      </c>
      <c r="G6" s="13" t="s">
        <v>33</v>
      </c>
      <c r="H6" s="13" t="s">
        <v>33</v>
      </c>
      <c r="I6" s="13" t="s">
        <v>33</v>
      </c>
      <c r="J6" s="13" t="s">
        <v>33</v>
      </c>
      <c r="K6" s="21" t="s">
        <v>33</v>
      </c>
      <c r="L6" s="30">
        <v>6543600</v>
      </c>
      <c r="M6" s="51" t="s">
        <v>39</v>
      </c>
      <c r="N6" s="17">
        <v>24716</v>
      </c>
      <c r="O6" s="17">
        <v>25082</v>
      </c>
      <c r="P6" s="2"/>
      <c r="Q6" s="2"/>
      <c r="R6" s="2"/>
      <c r="S6" s="2"/>
      <c r="T6" s="2"/>
    </row>
    <row r="7" spans="1:20" x14ac:dyDescent="0.5">
      <c r="L7" s="49">
        <v>122000</v>
      </c>
    </row>
    <row r="8" spans="1:20" x14ac:dyDescent="0.5">
      <c r="L8" s="16">
        <v>7658000</v>
      </c>
    </row>
    <row r="9" spans="1:20" x14ac:dyDescent="0.5">
      <c r="L9" s="50">
        <f>SUM(L5:L8)</f>
        <v>18030600</v>
      </c>
    </row>
  </sheetData>
  <mergeCells count="17">
    <mergeCell ref="O3:O4"/>
    <mergeCell ref="T3:T4"/>
    <mergeCell ref="A1:T1"/>
    <mergeCell ref="A2:T2"/>
    <mergeCell ref="A3:A4"/>
    <mergeCell ref="B3:B4"/>
    <mergeCell ref="C3:C4"/>
    <mergeCell ref="D3:D4"/>
    <mergeCell ref="E3:E4"/>
    <mergeCell ref="F3:F4"/>
    <mergeCell ref="G3:H3"/>
    <mergeCell ref="I3:J3"/>
    <mergeCell ref="K3:L3"/>
    <mergeCell ref="M3:M4"/>
    <mergeCell ref="P3:R3"/>
    <mergeCell ref="S3:S4"/>
    <mergeCell ref="N3:N4"/>
  </mergeCells>
  <pageMargins left="0.23622047244094491" right="0" top="0.51181102362204722" bottom="0" header="0.51181102362204722" footer="0"/>
  <pageSetup scale="68"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A111-90CC-4130-824F-F2AF99E88797}">
  <dimension ref="A1:T5"/>
  <sheetViews>
    <sheetView zoomScale="90" zoomScaleNormal="90" workbookViewId="0">
      <selection activeCell="F5" sqref="F5"/>
    </sheetView>
  </sheetViews>
  <sheetFormatPr defaultRowHeight="17.25" x14ac:dyDescent="0.4"/>
  <cols>
    <col min="1" max="1" width="5.25" style="1" customWidth="1"/>
    <col min="2" max="2" width="8.125" style="1" customWidth="1"/>
    <col min="3" max="3" width="25.75" style="1" customWidth="1"/>
    <col min="4" max="4" width="17.625" style="1" customWidth="1"/>
    <col min="5" max="5" width="22.625" style="1" customWidth="1"/>
    <col min="6" max="6" width="16" style="1" customWidth="1"/>
    <col min="7" max="7" width="7.375" style="1" customWidth="1"/>
    <col min="8" max="8" width="7.125" style="1" customWidth="1"/>
    <col min="9" max="9" width="7.625" style="1" customWidth="1"/>
    <col min="10" max="10" width="7.5" style="1" customWidth="1"/>
    <col min="11" max="11" width="9.75" style="1" customWidth="1"/>
    <col min="12" max="12" width="12" style="1" customWidth="1"/>
    <col min="13" max="13" width="14.625" style="1" customWidth="1"/>
    <col min="14" max="14" width="10.5" style="1" customWidth="1"/>
    <col min="15" max="15" width="10.75" style="1" customWidth="1"/>
    <col min="16" max="16" width="9.875" style="1" customWidth="1"/>
    <col min="17" max="17" width="9.125" style="1" customWidth="1"/>
    <col min="18" max="19" width="9" style="1" customWidth="1"/>
    <col min="20" max="20" width="5.125"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28</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4" t="s">
        <v>6</v>
      </c>
    </row>
    <row r="4" spans="1:20" s="4" customFormat="1" ht="113.2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65"/>
    </row>
    <row r="5" spans="1:20" s="15" customFormat="1" ht="195.75" x14ac:dyDescent="0.5">
      <c r="A5" s="12">
        <v>1</v>
      </c>
      <c r="B5" s="14"/>
      <c r="C5" s="8" t="s">
        <v>29</v>
      </c>
      <c r="D5" s="9" t="s">
        <v>30</v>
      </c>
      <c r="E5" s="10" t="s">
        <v>31</v>
      </c>
      <c r="F5" s="8" t="s">
        <v>32</v>
      </c>
      <c r="G5" s="12" t="s">
        <v>33</v>
      </c>
      <c r="H5" s="12" t="s">
        <v>33</v>
      </c>
      <c r="I5" s="12" t="s">
        <v>33</v>
      </c>
      <c r="J5" s="12" t="s">
        <v>33</v>
      </c>
      <c r="K5" s="16">
        <v>0</v>
      </c>
      <c r="L5" s="16">
        <v>7658000</v>
      </c>
      <c r="M5" s="8" t="s">
        <v>34</v>
      </c>
      <c r="N5" s="17">
        <v>24959</v>
      </c>
      <c r="O5" s="17">
        <v>25324</v>
      </c>
      <c r="P5" s="14"/>
      <c r="Q5" s="14"/>
      <c r="R5" s="14"/>
      <c r="S5" s="14"/>
      <c r="T5" s="14"/>
    </row>
  </sheetData>
  <mergeCells count="17">
    <mergeCell ref="O3:O4"/>
    <mergeCell ref="A1:T1"/>
    <mergeCell ref="A2:T2"/>
    <mergeCell ref="A3:A4"/>
    <mergeCell ref="B3:B4"/>
    <mergeCell ref="C3:C4"/>
    <mergeCell ref="D3:D4"/>
    <mergeCell ref="E3:E4"/>
    <mergeCell ref="F3:F4"/>
    <mergeCell ref="G3:H3"/>
    <mergeCell ref="I3:J3"/>
    <mergeCell ref="K3:L3"/>
    <mergeCell ref="M3:M4"/>
    <mergeCell ref="N3:N4"/>
    <mergeCell ref="P3:R3"/>
    <mergeCell ref="S3:S4"/>
    <mergeCell ref="T3:T4"/>
  </mergeCells>
  <pageMargins left="0.23622047244094491" right="0" top="0.31496062992125984" bottom="0" header="0.51181102362204722" footer="0"/>
  <pageSetup paperSize="9" scale="6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6AC8-1333-4A2F-906C-769D699AFAC2}">
  <dimension ref="A1:T11"/>
  <sheetViews>
    <sheetView topLeftCell="A9" zoomScaleNormal="100" workbookViewId="0">
      <selection activeCell="E11" sqref="E11"/>
    </sheetView>
  </sheetViews>
  <sheetFormatPr defaultRowHeight="17.25" x14ac:dyDescent="0.4"/>
  <cols>
    <col min="1" max="1" width="5.25" style="1" customWidth="1"/>
    <col min="2" max="2" width="9.25" style="1" customWidth="1"/>
    <col min="3" max="3" width="25.75" style="1" customWidth="1"/>
    <col min="4" max="4" width="23.125" style="1" customWidth="1"/>
    <col min="5" max="5" width="22.625" style="1" customWidth="1"/>
    <col min="6" max="6" width="17.75" style="1" customWidth="1"/>
    <col min="7" max="7" width="7.375" style="1" customWidth="1"/>
    <col min="8" max="8" width="7.125" style="1" customWidth="1"/>
    <col min="9" max="9" width="7.625" style="1" customWidth="1"/>
    <col min="10" max="10" width="7.5" style="1" customWidth="1"/>
    <col min="11" max="11" width="12" style="1" customWidth="1"/>
    <col min="12" max="12" width="12.625" style="1" customWidth="1"/>
    <col min="13" max="13" width="16.75" style="1" customWidth="1"/>
    <col min="14" max="14" width="10.5" style="1" customWidth="1"/>
    <col min="15" max="15" width="10.75" style="1" customWidth="1"/>
    <col min="16" max="16" width="9.875" style="1" customWidth="1"/>
    <col min="17" max="17" width="9.125" style="1" customWidth="1"/>
    <col min="18" max="19" width="9" style="1" customWidth="1"/>
    <col min="20" max="20" width="8"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42</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1" t="s">
        <v>6</v>
      </c>
    </row>
    <row r="4" spans="1:20" s="4" customFormat="1" ht="118.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56"/>
    </row>
    <row r="5" spans="1:20" s="23" customFormat="1" ht="144" x14ac:dyDescent="0.2">
      <c r="A5" s="13">
        <v>1</v>
      </c>
      <c r="B5" s="18" t="s">
        <v>52</v>
      </c>
      <c r="C5" s="18" t="s">
        <v>43</v>
      </c>
      <c r="D5" s="27" t="s">
        <v>44</v>
      </c>
      <c r="E5" s="28" t="s">
        <v>33</v>
      </c>
      <c r="F5" s="18" t="s">
        <v>45</v>
      </c>
      <c r="G5" s="13" t="s">
        <v>33</v>
      </c>
      <c r="H5" s="13" t="s">
        <v>33</v>
      </c>
      <c r="I5" s="13" t="s">
        <v>33</v>
      </c>
      <c r="J5" s="13" t="s">
        <v>33</v>
      </c>
      <c r="K5" s="21">
        <v>40000</v>
      </c>
      <c r="L5" s="21" t="s">
        <v>33</v>
      </c>
      <c r="M5" s="18" t="s">
        <v>46</v>
      </c>
      <c r="N5" s="20">
        <v>24990</v>
      </c>
      <c r="O5" s="20">
        <v>25355</v>
      </c>
      <c r="P5" s="18" t="s">
        <v>55</v>
      </c>
      <c r="Q5" s="13" t="s">
        <v>33</v>
      </c>
      <c r="R5" s="13" t="s">
        <v>33</v>
      </c>
      <c r="S5" s="18" t="s">
        <v>56</v>
      </c>
      <c r="T5" s="24"/>
    </row>
    <row r="6" spans="1:20" s="25" customFormat="1" ht="96" x14ac:dyDescent="0.2">
      <c r="A6" s="13">
        <v>2</v>
      </c>
      <c r="B6" s="18" t="s">
        <v>53</v>
      </c>
      <c r="C6" s="28" t="s">
        <v>51</v>
      </c>
      <c r="D6" s="13" t="s">
        <v>47</v>
      </c>
      <c r="E6" s="28" t="s">
        <v>33</v>
      </c>
      <c r="F6" s="18" t="s">
        <v>45</v>
      </c>
      <c r="G6" s="13" t="s">
        <v>33</v>
      </c>
      <c r="H6" s="13" t="s">
        <v>33</v>
      </c>
      <c r="I6" s="13" t="s">
        <v>33</v>
      </c>
      <c r="J6" s="13" t="s">
        <v>33</v>
      </c>
      <c r="K6" s="19">
        <v>40000</v>
      </c>
      <c r="L6" s="13" t="s">
        <v>33</v>
      </c>
      <c r="M6" s="18" t="s">
        <v>46</v>
      </c>
      <c r="N6" s="20">
        <v>24990</v>
      </c>
      <c r="O6" s="20">
        <v>25355</v>
      </c>
      <c r="P6" s="18" t="s">
        <v>57</v>
      </c>
      <c r="Q6" s="13" t="s">
        <v>33</v>
      </c>
      <c r="R6" s="13" t="s">
        <v>33</v>
      </c>
      <c r="S6" s="13" t="s">
        <v>33</v>
      </c>
      <c r="T6" s="24"/>
    </row>
    <row r="7" spans="1:20" s="4" customFormat="1" ht="120" x14ac:dyDescent="0.2">
      <c r="A7" s="13">
        <v>3</v>
      </c>
      <c r="B7" s="18" t="s">
        <v>54</v>
      </c>
      <c r="C7" s="28" t="s">
        <v>98</v>
      </c>
      <c r="D7" s="13" t="s">
        <v>58</v>
      </c>
      <c r="E7" s="28" t="s">
        <v>33</v>
      </c>
      <c r="F7" s="18" t="s">
        <v>45</v>
      </c>
      <c r="G7" s="13" t="s">
        <v>33</v>
      </c>
      <c r="H7" s="13" t="s">
        <v>33</v>
      </c>
      <c r="I7" s="13" t="s">
        <v>33</v>
      </c>
      <c r="J7" s="13" t="s">
        <v>33</v>
      </c>
      <c r="K7" s="19">
        <v>20000</v>
      </c>
      <c r="L7" s="13" t="s">
        <v>33</v>
      </c>
      <c r="M7" s="18" t="s">
        <v>46</v>
      </c>
      <c r="N7" s="20">
        <v>24990</v>
      </c>
      <c r="O7" s="20">
        <v>25720</v>
      </c>
      <c r="P7" s="13" t="s">
        <v>33</v>
      </c>
      <c r="Q7" s="13" t="s">
        <v>33</v>
      </c>
      <c r="R7" s="13" t="s">
        <v>33</v>
      </c>
      <c r="S7" s="13" t="s">
        <v>33</v>
      </c>
      <c r="T7" s="24"/>
    </row>
    <row r="8" spans="1:20" s="4" customFormat="1" ht="216" x14ac:dyDescent="0.2">
      <c r="A8" s="13">
        <v>4</v>
      </c>
      <c r="B8" s="18" t="s">
        <v>59</v>
      </c>
      <c r="C8" s="28" t="s">
        <v>48</v>
      </c>
      <c r="D8" s="13" t="s">
        <v>49</v>
      </c>
      <c r="E8" s="28" t="s">
        <v>62</v>
      </c>
      <c r="F8" s="18" t="s">
        <v>50</v>
      </c>
      <c r="G8" s="13" t="s">
        <v>33</v>
      </c>
      <c r="H8" s="13" t="s">
        <v>33</v>
      </c>
      <c r="I8" s="13" t="s">
        <v>33</v>
      </c>
      <c r="J8" s="13" t="s">
        <v>33</v>
      </c>
      <c r="K8" s="19">
        <v>30000</v>
      </c>
      <c r="L8" s="13" t="s">
        <v>33</v>
      </c>
      <c r="M8" s="18" t="s">
        <v>46</v>
      </c>
      <c r="N8" s="26">
        <v>25004</v>
      </c>
      <c r="O8" s="26">
        <v>25186</v>
      </c>
      <c r="P8" s="18" t="s">
        <v>60</v>
      </c>
      <c r="Q8" s="13" t="s">
        <v>33</v>
      </c>
      <c r="R8" s="18" t="s">
        <v>61</v>
      </c>
      <c r="S8" s="13" t="s">
        <v>33</v>
      </c>
      <c r="T8" s="24"/>
    </row>
    <row r="9" spans="1:20" s="23" customFormat="1" ht="264" x14ac:dyDescent="0.2">
      <c r="A9" s="13">
        <v>5</v>
      </c>
      <c r="B9" s="24"/>
      <c r="C9" s="18" t="s">
        <v>65</v>
      </c>
      <c r="D9" s="13" t="s">
        <v>63</v>
      </c>
      <c r="E9" s="29" t="s">
        <v>66</v>
      </c>
      <c r="F9" s="18" t="s">
        <v>64</v>
      </c>
      <c r="G9" s="13" t="s">
        <v>33</v>
      </c>
      <c r="H9" s="13" t="s">
        <v>33</v>
      </c>
      <c r="I9" s="13" t="s">
        <v>33</v>
      </c>
      <c r="J9" s="13" t="s">
        <v>33</v>
      </c>
      <c r="K9" s="19">
        <v>0</v>
      </c>
      <c r="L9" s="19">
        <v>1000000</v>
      </c>
      <c r="M9" s="18" t="s">
        <v>67</v>
      </c>
      <c r="N9" s="26">
        <v>24990</v>
      </c>
      <c r="O9" s="26">
        <v>25355</v>
      </c>
      <c r="P9" s="24"/>
      <c r="Q9" s="24"/>
      <c r="R9" s="24"/>
      <c r="S9" s="24"/>
      <c r="T9" s="24"/>
    </row>
    <row r="10" spans="1:20" s="25" customFormat="1" ht="72" x14ac:dyDescent="0.2">
      <c r="A10" s="13">
        <v>6</v>
      </c>
      <c r="B10" s="24"/>
      <c r="C10" s="18" t="s">
        <v>81</v>
      </c>
      <c r="D10" s="13" t="s">
        <v>30</v>
      </c>
      <c r="E10" s="29" t="s">
        <v>80</v>
      </c>
      <c r="F10" s="18" t="s">
        <v>32</v>
      </c>
      <c r="G10" s="13" t="s">
        <v>33</v>
      </c>
      <c r="H10" s="13" t="s">
        <v>33</v>
      </c>
      <c r="I10" s="13" t="s">
        <v>33</v>
      </c>
      <c r="J10" s="13" t="s">
        <v>33</v>
      </c>
      <c r="K10" s="13" t="s">
        <v>33</v>
      </c>
      <c r="L10" s="19">
        <v>2500000</v>
      </c>
      <c r="M10" s="18" t="s">
        <v>83</v>
      </c>
      <c r="N10" s="26">
        <v>24898</v>
      </c>
      <c r="O10" s="26">
        <v>24990</v>
      </c>
      <c r="P10" s="24"/>
      <c r="Q10" s="24"/>
      <c r="R10" s="24"/>
      <c r="S10" s="24"/>
      <c r="T10" s="24"/>
    </row>
    <row r="11" spans="1:20" s="25" customFormat="1" ht="96" x14ac:dyDescent="0.2">
      <c r="A11" s="13">
        <v>7</v>
      </c>
      <c r="B11" s="24"/>
      <c r="C11" s="18" t="s">
        <v>82</v>
      </c>
      <c r="D11" s="13" t="s">
        <v>30</v>
      </c>
      <c r="E11" s="29" t="s">
        <v>80</v>
      </c>
      <c r="F11" s="18" t="s">
        <v>32</v>
      </c>
      <c r="G11" s="13" t="s">
        <v>33</v>
      </c>
      <c r="H11" s="13" t="s">
        <v>33</v>
      </c>
      <c r="I11" s="13" t="s">
        <v>33</v>
      </c>
      <c r="J11" s="13" t="s">
        <v>33</v>
      </c>
      <c r="K11" s="13" t="s">
        <v>33</v>
      </c>
      <c r="L11" s="19">
        <v>300000</v>
      </c>
      <c r="M11" s="18" t="s">
        <v>83</v>
      </c>
      <c r="N11" s="26">
        <v>24898</v>
      </c>
      <c r="O11" s="26">
        <v>24990</v>
      </c>
      <c r="P11" s="24"/>
      <c r="Q11" s="24"/>
      <c r="R11" s="24"/>
      <c r="S11" s="24"/>
      <c r="T11" s="24"/>
    </row>
  </sheetData>
  <mergeCells count="17">
    <mergeCell ref="O3:O4"/>
    <mergeCell ref="P3:R3"/>
    <mergeCell ref="S3:S4"/>
    <mergeCell ref="A1:T1"/>
    <mergeCell ref="A2:T2"/>
    <mergeCell ref="A3:A4"/>
    <mergeCell ref="B3:B4"/>
    <mergeCell ref="C3:C4"/>
    <mergeCell ref="D3:D4"/>
    <mergeCell ref="E3:E4"/>
    <mergeCell ref="F3:F4"/>
    <mergeCell ref="G3:H3"/>
    <mergeCell ref="I3:J3"/>
    <mergeCell ref="T3:T4"/>
    <mergeCell ref="K3:L3"/>
    <mergeCell ref="M3:M4"/>
    <mergeCell ref="N3:N4"/>
  </mergeCells>
  <phoneticPr fontId="10" type="noConversion"/>
  <pageMargins left="0.23622047244094491" right="0" top="0.51181102362204722" bottom="0" header="0.51181102362204722" footer="0"/>
  <pageSetup scale="53"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C759-6746-43C9-8753-F7F51B7E3FD8}">
  <dimension ref="A1:T7"/>
  <sheetViews>
    <sheetView zoomScale="90" zoomScaleNormal="90" workbookViewId="0">
      <selection activeCell="C5" sqref="C5"/>
    </sheetView>
  </sheetViews>
  <sheetFormatPr defaultRowHeight="17.25" x14ac:dyDescent="0.4"/>
  <cols>
    <col min="1" max="1" width="5.25" style="1" customWidth="1"/>
    <col min="2" max="2" width="9.875" style="1" customWidth="1"/>
    <col min="3" max="3" width="25.75" style="1" customWidth="1"/>
    <col min="4" max="4" width="17.625" style="1" customWidth="1"/>
    <col min="5" max="5" width="22.625" style="1" customWidth="1"/>
    <col min="6" max="6" width="16" style="1" customWidth="1"/>
    <col min="7" max="7" width="7.375" style="1" customWidth="1"/>
    <col min="8" max="8" width="7.125" style="1" customWidth="1"/>
    <col min="9" max="9" width="7.625" style="1" customWidth="1"/>
    <col min="10" max="10" width="7.5" style="1" customWidth="1"/>
    <col min="11" max="11" width="9.75" style="1" customWidth="1"/>
    <col min="12" max="12" width="13.5" style="1" customWidth="1"/>
    <col min="13" max="13" width="14.625" style="1" customWidth="1"/>
    <col min="14" max="14" width="10.5" style="1" customWidth="1"/>
    <col min="15" max="15" width="10.75" style="1" customWidth="1"/>
    <col min="16" max="16" width="9.875" style="1" customWidth="1"/>
    <col min="17" max="17" width="9.125" style="1" customWidth="1"/>
    <col min="18" max="19" width="9" style="1" customWidth="1"/>
    <col min="20" max="20" width="7.375"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76</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4" t="s">
        <v>6</v>
      </c>
    </row>
    <row r="4" spans="1:20" s="4" customFormat="1" ht="113.2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65"/>
    </row>
    <row r="5" spans="1:20" s="23" customFormat="1" ht="310.5" customHeight="1" x14ac:dyDescent="0.2">
      <c r="A5" s="12">
        <v>1</v>
      </c>
      <c r="B5" s="8" t="s">
        <v>68</v>
      </c>
      <c r="C5" s="8" t="s">
        <v>69</v>
      </c>
      <c r="D5" s="12" t="s">
        <v>70</v>
      </c>
      <c r="E5" s="31" t="s">
        <v>74</v>
      </c>
      <c r="F5" s="8" t="s">
        <v>71</v>
      </c>
      <c r="G5" s="12" t="s">
        <v>33</v>
      </c>
      <c r="H5" s="12" t="s">
        <v>33</v>
      </c>
      <c r="I5" s="12" t="s">
        <v>33</v>
      </c>
      <c r="J5" s="12" t="s">
        <v>33</v>
      </c>
      <c r="K5" s="30">
        <v>300000</v>
      </c>
      <c r="L5" s="30">
        <v>0</v>
      </c>
      <c r="M5" s="8" t="s">
        <v>72</v>
      </c>
      <c r="N5" s="17">
        <v>25020</v>
      </c>
      <c r="O5" s="17">
        <v>25385</v>
      </c>
      <c r="P5" s="70" t="s">
        <v>75</v>
      </c>
      <c r="Q5" s="71"/>
      <c r="R5" s="72"/>
      <c r="S5" s="68" t="s">
        <v>73</v>
      </c>
      <c r="T5" s="69"/>
    </row>
    <row r="6" spans="1:20" s="23" customFormat="1" ht="87" x14ac:dyDescent="0.2">
      <c r="A6" s="12">
        <v>2</v>
      </c>
      <c r="B6" s="32"/>
      <c r="C6" s="8" t="s">
        <v>77</v>
      </c>
      <c r="D6" s="12" t="s">
        <v>78</v>
      </c>
      <c r="E6" s="31" t="s">
        <v>79</v>
      </c>
      <c r="F6" s="8" t="s">
        <v>64</v>
      </c>
      <c r="G6" s="12" t="s">
        <v>33</v>
      </c>
      <c r="H6" s="12" t="s">
        <v>33</v>
      </c>
      <c r="I6" s="12" t="s">
        <v>33</v>
      </c>
      <c r="J6" s="12" t="s">
        <v>33</v>
      </c>
      <c r="K6" s="16" t="s">
        <v>33</v>
      </c>
      <c r="L6" s="30">
        <v>969000</v>
      </c>
      <c r="M6" s="8" t="s">
        <v>34</v>
      </c>
      <c r="N6" s="17">
        <v>25020</v>
      </c>
      <c r="O6" s="17">
        <v>25385</v>
      </c>
      <c r="P6" s="32"/>
      <c r="Q6" s="32"/>
      <c r="R6" s="32"/>
      <c r="S6" s="32"/>
      <c r="T6" s="32"/>
    </row>
    <row r="7" spans="1:20" s="23" customFormat="1" ht="393.75" customHeight="1" x14ac:dyDescent="0.2">
      <c r="A7" s="12">
        <v>3</v>
      </c>
      <c r="B7" s="8" t="s">
        <v>94</v>
      </c>
      <c r="C7" s="8" t="s">
        <v>93</v>
      </c>
      <c r="D7" s="12" t="s">
        <v>95</v>
      </c>
      <c r="E7" s="31" t="s">
        <v>97</v>
      </c>
      <c r="F7" s="8" t="s">
        <v>64</v>
      </c>
      <c r="G7" s="12" t="s">
        <v>33</v>
      </c>
      <c r="H7" s="12" t="s">
        <v>33</v>
      </c>
      <c r="I7" s="12" t="s">
        <v>33</v>
      </c>
      <c r="J7" s="12" t="s">
        <v>33</v>
      </c>
      <c r="K7" s="12" t="s">
        <v>33</v>
      </c>
      <c r="L7" s="34">
        <v>14500000</v>
      </c>
      <c r="M7" s="8" t="s">
        <v>96</v>
      </c>
      <c r="N7" s="35">
        <v>25044</v>
      </c>
      <c r="O7" s="35">
        <v>25408</v>
      </c>
      <c r="P7" s="32"/>
      <c r="Q7" s="32"/>
      <c r="R7" s="32"/>
      <c r="S7" s="32"/>
      <c r="T7" s="32"/>
    </row>
  </sheetData>
  <mergeCells count="19">
    <mergeCell ref="A1:T1"/>
    <mergeCell ref="A2:T2"/>
    <mergeCell ref="A3:A4"/>
    <mergeCell ref="B3:B4"/>
    <mergeCell ref="C3:C4"/>
    <mergeCell ref="D3:D4"/>
    <mergeCell ref="E3:E4"/>
    <mergeCell ref="F3:F4"/>
    <mergeCell ref="G3:H3"/>
    <mergeCell ref="I3:J3"/>
    <mergeCell ref="T3:T4"/>
    <mergeCell ref="P5:R5"/>
    <mergeCell ref="S5:T5"/>
    <mergeCell ref="K3:L3"/>
    <mergeCell ref="M3:M4"/>
    <mergeCell ref="N3:N4"/>
    <mergeCell ref="O3:O4"/>
    <mergeCell ref="P3:R3"/>
    <mergeCell ref="S3:S4"/>
  </mergeCells>
  <pageMargins left="0.23622047244094491" right="0" top="0.31496062992125984" bottom="0" header="0.51181102362204722" footer="0"/>
  <pageSetup paperSize="9" scale="58"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8EAAB-618E-41ED-ABED-15EABD85B749}">
  <dimension ref="A1:T6"/>
  <sheetViews>
    <sheetView zoomScale="90" zoomScaleNormal="90" workbookViewId="0">
      <selection activeCell="E5" sqref="E5"/>
    </sheetView>
  </sheetViews>
  <sheetFormatPr defaultRowHeight="17.25" x14ac:dyDescent="0.4"/>
  <cols>
    <col min="1" max="1" width="5.25" style="1" customWidth="1"/>
    <col min="2" max="2" width="8.125" style="1" customWidth="1"/>
    <col min="3" max="3" width="25.75" style="1" customWidth="1"/>
    <col min="4" max="4" width="17.625" style="1" customWidth="1"/>
    <col min="5" max="5" width="22.625" style="1" customWidth="1"/>
    <col min="6" max="6" width="16" style="1" customWidth="1"/>
    <col min="7" max="7" width="7.375" style="1" customWidth="1"/>
    <col min="8" max="8" width="7.125" style="1" customWidth="1"/>
    <col min="9" max="9" width="7.625" style="1" customWidth="1"/>
    <col min="10" max="10" width="7.5" style="1" customWidth="1"/>
    <col min="11" max="11" width="9.75" style="1" customWidth="1"/>
    <col min="12" max="12" width="10.75" style="1" customWidth="1"/>
    <col min="13" max="13" width="16.375" style="1" customWidth="1"/>
    <col min="14" max="14" width="10.5" style="1" customWidth="1"/>
    <col min="15" max="15" width="10.75" style="1" customWidth="1"/>
    <col min="16" max="16" width="9.875" style="1" customWidth="1"/>
    <col min="17" max="17" width="9.125" style="1" customWidth="1"/>
    <col min="18" max="19" width="9" style="1" customWidth="1"/>
    <col min="20" max="20" width="5.125"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84</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4" t="s">
        <v>6</v>
      </c>
    </row>
    <row r="4" spans="1:20" s="4" customFormat="1" ht="113.2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65"/>
    </row>
    <row r="5" spans="1:20" s="23" customFormat="1" ht="132" customHeight="1" x14ac:dyDescent="0.2">
      <c r="A5" s="12">
        <v>1</v>
      </c>
      <c r="B5" s="18" t="s">
        <v>85</v>
      </c>
      <c r="C5" s="8" t="s">
        <v>92</v>
      </c>
      <c r="D5" s="12" t="s">
        <v>90</v>
      </c>
      <c r="E5" s="31" t="s">
        <v>91</v>
      </c>
      <c r="F5" s="18" t="s">
        <v>50</v>
      </c>
      <c r="G5" s="12" t="s">
        <v>33</v>
      </c>
      <c r="H5" s="12" t="s">
        <v>33</v>
      </c>
      <c r="I5" s="12" t="s">
        <v>33</v>
      </c>
      <c r="J5" s="12" t="s">
        <v>33</v>
      </c>
      <c r="K5" s="30">
        <v>30000</v>
      </c>
      <c r="L5" s="30">
        <v>0</v>
      </c>
      <c r="M5" s="18" t="s">
        <v>46</v>
      </c>
      <c r="N5" s="33">
        <v>45884</v>
      </c>
      <c r="O5" s="33">
        <v>45883</v>
      </c>
      <c r="P5" s="32"/>
      <c r="Q5" s="32"/>
      <c r="R5" s="32"/>
      <c r="S5" s="31"/>
      <c r="T5" s="31"/>
    </row>
    <row r="6" spans="1:20" s="23" customFormat="1" ht="87" x14ac:dyDescent="0.2">
      <c r="A6" s="12">
        <v>2</v>
      </c>
      <c r="B6" s="18" t="s">
        <v>86</v>
      </c>
      <c r="C6" s="8" t="s">
        <v>88</v>
      </c>
      <c r="D6" s="12" t="s">
        <v>89</v>
      </c>
      <c r="E6" s="8" t="s">
        <v>33</v>
      </c>
      <c r="F6" s="18" t="s">
        <v>87</v>
      </c>
      <c r="G6" s="12" t="s">
        <v>33</v>
      </c>
      <c r="H6" s="12" t="s">
        <v>33</v>
      </c>
      <c r="I6" s="12" t="s">
        <v>33</v>
      </c>
      <c r="J6" s="12" t="s">
        <v>33</v>
      </c>
      <c r="K6" s="30">
        <v>40000</v>
      </c>
      <c r="L6" s="30">
        <v>0</v>
      </c>
      <c r="M6" s="18" t="s">
        <v>46</v>
      </c>
      <c r="N6" s="33">
        <v>45887</v>
      </c>
      <c r="O6" s="33">
        <v>46251</v>
      </c>
      <c r="P6" s="32"/>
      <c r="Q6" s="32"/>
      <c r="R6" s="32"/>
      <c r="S6" s="32"/>
      <c r="T6" s="32"/>
    </row>
  </sheetData>
  <mergeCells count="17">
    <mergeCell ref="P3:R3"/>
    <mergeCell ref="S3:S4"/>
    <mergeCell ref="A1:T1"/>
    <mergeCell ref="A2:T2"/>
    <mergeCell ref="A3:A4"/>
    <mergeCell ref="B3:B4"/>
    <mergeCell ref="C3:C4"/>
    <mergeCell ref="D3:D4"/>
    <mergeCell ref="E3:E4"/>
    <mergeCell ref="F3:F4"/>
    <mergeCell ref="G3:H3"/>
    <mergeCell ref="I3:J3"/>
    <mergeCell ref="T3:T4"/>
    <mergeCell ref="K3:L3"/>
    <mergeCell ref="M3:M4"/>
    <mergeCell ref="N3:N4"/>
    <mergeCell ref="O3:O4"/>
  </mergeCells>
  <pageMargins left="0.23622047244094491" right="0" top="0.31496062992125984" bottom="0" header="0.51181102362204722" footer="0"/>
  <pageSetup paperSize="9" scale="60"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8CC53-3BCF-4B68-9ADE-9BF2D5388F90}">
  <dimension ref="A1:T5"/>
  <sheetViews>
    <sheetView zoomScale="90" zoomScaleNormal="90" workbookViewId="0">
      <selection activeCell="C5" sqref="C5"/>
    </sheetView>
  </sheetViews>
  <sheetFormatPr defaultRowHeight="17.25" x14ac:dyDescent="0.4"/>
  <cols>
    <col min="1" max="1" width="5.25" style="1" customWidth="1"/>
    <col min="2" max="2" width="8.125" style="1" customWidth="1"/>
    <col min="3" max="3" width="25.75" style="1" customWidth="1"/>
    <col min="4" max="4" width="17.625" style="1" customWidth="1"/>
    <col min="5" max="5" width="22.625" style="1" customWidth="1"/>
    <col min="6" max="6" width="16" style="1" customWidth="1"/>
    <col min="7" max="7" width="7.375" style="1" customWidth="1"/>
    <col min="8" max="8" width="7.125" style="1" customWidth="1"/>
    <col min="9" max="9" width="7.625" style="1" customWidth="1"/>
    <col min="10" max="10" width="7.5" style="1" customWidth="1"/>
    <col min="11" max="11" width="9.75" style="1" customWidth="1"/>
    <col min="12" max="12" width="12" style="1" customWidth="1"/>
    <col min="13" max="13" width="16.375" style="1" customWidth="1"/>
    <col min="14" max="14" width="10.5" style="1" customWidth="1"/>
    <col min="15" max="15" width="10.75" style="1" customWidth="1"/>
    <col min="16" max="16" width="9.875" style="1" customWidth="1"/>
    <col min="17" max="17" width="9.125" style="1" customWidth="1"/>
    <col min="18" max="19" width="9" style="1" customWidth="1"/>
    <col min="20" max="20" width="5.125"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131</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4" t="s">
        <v>6</v>
      </c>
    </row>
    <row r="4" spans="1:20" s="4" customFormat="1" ht="113.2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65"/>
    </row>
    <row r="5" spans="1:20" s="23" customFormat="1" ht="132" customHeight="1" x14ac:dyDescent="0.2">
      <c r="A5" s="12">
        <v>1</v>
      </c>
      <c r="B5" s="18" t="s">
        <v>127</v>
      </c>
      <c r="C5" s="8" t="s">
        <v>128</v>
      </c>
      <c r="D5" s="12" t="s">
        <v>129</v>
      </c>
      <c r="E5" s="31" t="s">
        <v>130</v>
      </c>
      <c r="F5" s="18" t="s">
        <v>50</v>
      </c>
      <c r="G5" s="12" t="s">
        <v>33</v>
      </c>
      <c r="H5" s="12" t="s">
        <v>33</v>
      </c>
      <c r="I5" s="12" t="s">
        <v>33</v>
      </c>
      <c r="J5" s="12" t="s">
        <v>33</v>
      </c>
      <c r="K5" s="30">
        <v>30000</v>
      </c>
      <c r="L5" s="30">
        <v>0</v>
      </c>
      <c r="M5" s="18" t="s">
        <v>46</v>
      </c>
      <c r="N5" s="33">
        <v>45915</v>
      </c>
      <c r="O5" s="33">
        <v>46067</v>
      </c>
      <c r="P5" s="32"/>
      <c r="Q5" s="32"/>
      <c r="R5" s="32"/>
      <c r="S5" s="31"/>
      <c r="T5" s="31"/>
    </row>
  </sheetData>
  <mergeCells count="17">
    <mergeCell ref="O3:O4"/>
    <mergeCell ref="P3:R3"/>
    <mergeCell ref="S3:S4"/>
    <mergeCell ref="A1:T1"/>
    <mergeCell ref="A2:T2"/>
    <mergeCell ref="A3:A4"/>
    <mergeCell ref="B3:B4"/>
    <mergeCell ref="C3:C4"/>
    <mergeCell ref="D3:D4"/>
    <mergeCell ref="E3:E4"/>
    <mergeCell ref="F3:F4"/>
    <mergeCell ref="G3:H3"/>
    <mergeCell ref="I3:J3"/>
    <mergeCell ref="T3:T4"/>
    <mergeCell ref="K3:L3"/>
    <mergeCell ref="M3:M4"/>
    <mergeCell ref="N3:N4"/>
  </mergeCells>
  <pageMargins left="0.23622047244094491" right="0" top="0.31496062992125984" bottom="0" header="0.51181102362204722" footer="0"/>
  <pageSetup paperSize="9" scale="60"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DA4B-042C-4547-90C6-D2DEA8F55AA3}">
  <dimension ref="A1:T7"/>
  <sheetViews>
    <sheetView tabSelected="1" topLeftCell="F1" zoomScale="90" zoomScaleNormal="90" workbookViewId="0">
      <selection activeCell="L15" sqref="L15"/>
    </sheetView>
  </sheetViews>
  <sheetFormatPr defaultRowHeight="17.25" x14ac:dyDescent="0.4"/>
  <cols>
    <col min="1" max="1" width="5.25" style="1" customWidth="1"/>
    <col min="2" max="2" width="8.125" style="1" customWidth="1"/>
    <col min="3" max="3" width="25.5" style="1" customWidth="1"/>
    <col min="4" max="4" width="19.875" style="1" customWidth="1"/>
    <col min="5" max="5" width="21.125" style="1" customWidth="1"/>
    <col min="6" max="6" width="15" style="1" customWidth="1"/>
    <col min="7" max="7" width="7.375" style="1" customWidth="1"/>
    <col min="8" max="8" width="7.125" style="1" customWidth="1"/>
    <col min="9" max="9" width="7.625" style="1" customWidth="1"/>
    <col min="10" max="10" width="7.5" style="1" customWidth="1"/>
    <col min="11" max="11" width="9.75" style="1" customWidth="1"/>
    <col min="12" max="12" width="12" style="1" customWidth="1"/>
    <col min="13" max="13" width="15.5" style="1" customWidth="1"/>
    <col min="14" max="14" width="10.5" style="1" customWidth="1"/>
    <col min="15" max="15" width="10.75" style="1" customWidth="1"/>
    <col min="16" max="16" width="9.875" style="1" customWidth="1"/>
    <col min="17" max="17" width="9.125" style="1" customWidth="1"/>
    <col min="18" max="19" width="9" style="1" customWidth="1"/>
    <col min="20" max="20" width="5.125" style="1" customWidth="1"/>
    <col min="21" max="16384" width="9" style="1"/>
  </cols>
  <sheetData>
    <row r="1" spans="1:20" ht="24" x14ac:dyDescent="0.55000000000000004">
      <c r="A1" s="57" t="s">
        <v>22</v>
      </c>
      <c r="B1" s="58"/>
      <c r="C1" s="58"/>
      <c r="D1" s="58"/>
      <c r="E1" s="58"/>
      <c r="F1" s="58"/>
      <c r="G1" s="58"/>
      <c r="H1" s="58"/>
      <c r="I1" s="58"/>
      <c r="J1" s="58"/>
      <c r="K1" s="58"/>
      <c r="L1" s="58"/>
      <c r="M1" s="58"/>
      <c r="N1" s="58"/>
      <c r="O1" s="58"/>
      <c r="P1" s="58"/>
      <c r="Q1" s="58"/>
      <c r="R1" s="58"/>
      <c r="S1" s="58"/>
      <c r="T1" s="58"/>
    </row>
    <row r="2" spans="1:20" ht="24" x14ac:dyDescent="0.4">
      <c r="A2" s="59" t="s">
        <v>133</v>
      </c>
      <c r="B2" s="59"/>
      <c r="C2" s="59"/>
      <c r="D2" s="59"/>
      <c r="E2" s="59"/>
      <c r="F2" s="59"/>
      <c r="G2" s="59"/>
      <c r="H2" s="59"/>
      <c r="I2" s="59"/>
      <c r="J2" s="59"/>
      <c r="K2" s="59"/>
      <c r="L2" s="59"/>
      <c r="M2" s="59"/>
      <c r="N2" s="59"/>
      <c r="O2" s="59"/>
      <c r="P2" s="59"/>
      <c r="Q2" s="59"/>
      <c r="R2" s="59"/>
      <c r="S2" s="59"/>
      <c r="T2" s="59"/>
    </row>
    <row r="3" spans="1:20" s="4" customFormat="1" ht="18.75" customHeight="1" x14ac:dyDescent="0.2">
      <c r="A3" s="55" t="s">
        <v>7</v>
      </c>
      <c r="B3" s="54" t="s">
        <v>9</v>
      </c>
      <c r="C3" s="53" t="s">
        <v>0</v>
      </c>
      <c r="D3" s="53" t="s">
        <v>1</v>
      </c>
      <c r="E3" s="61" t="s">
        <v>14</v>
      </c>
      <c r="F3" s="54" t="s">
        <v>8</v>
      </c>
      <c r="G3" s="53" t="s">
        <v>15</v>
      </c>
      <c r="H3" s="53"/>
      <c r="I3" s="62" t="s">
        <v>18</v>
      </c>
      <c r="J3" s="63"/>
      <c r="K3" s="62" t="s">
        <v>3</v>
      </c>
      <c r="L3" s="63"/>
      <c r="M3" s="53" t="s">
        <v>2</v>
      </c>
      <c r="N3" s="54" t="s">
        <v>35</v>
      </c>
      <c r="O3" s="54" t="s">
        <v>36</v>
      </c>
      <c r="P3" s="53" t="s">
        <v>4</v>
      </c>
      <c r="Q3" s="53"/>
      <c r="R3" s="53"/>
      <c r="S3" s="55" t="s">
        <v>21</v>
      </c>
      <c r="T3" s="64" t="s">
        <v>6</v>
      </c>
    </row>
    <row r="4" spans="1:20" s="4" customFormat="1" ht="113.25" customHeight="1" x14ac:dyDescent="0.2">
      <c r="A4" s="60"/>
      <c r="B4" s="54"/>
      <c r="C4" s="53"/>
      <c r="D4" s="53"/>
      <c r="E4" s="56"/>
      <c r="F4" s="53"/>
      <c r="G4" s="7" t="s">
        <v>16</v>
      </c>
      <c r="H4" s="7" t="s">
        <v>17</v>
      </c>
      <c r="I4" s="7" t="s">
        <v>19</v>
      </c>
      <c r="J4" s="7" t="s">
        <v>20</v>
      </c>
      <c r="K4" s="5" t="s">
        <v>12</v>
      </c>
      <c r="L4" s="5" t="s">
        <v>13</v>
      </c>
      <c r="M4" s="53"/>
      <c r="N4" s="54"/>
      <c r="O4" s="54"/>
      <c r="P4" s="6" t="s">
        <v>11</v>
      </c>
      <c r="Q4" s="6" t="s">
        <v>10</v>
      </c>
      <c r="R4" s="6" t="s">
        <v>5</v>
      </c>
      <c r="S4" s="56"/>
      <c r="T4" s="65"/>
    </row>
    <row r="5" spans="1:20" s="23" customFormat="1" ht="160.5" customHeight="1" x14ac:dyDescent="0.2">
      <c r="A5" s="12">
        <v>1</v>
      </c>
      <c r="B5" s="18" t="s">
        <v>142</v>
      </c>
      <c r="C5" s="8" t="s">
        <v>132</v>
      </c>
      <c r="D5" s="12" t="s">
        <v>134</v>
      </c>
      <c r="E5" s="8" t="s">
        <v>33</v>
      </c>
      <c r="F5" s="8" t="s">
        <v>101</v>
      </c>
      <c r="G5" s="12" t="s">
        <v>33</v>
      </c>
      <c r="H5" s="12" t="s">
        <v>33</v>
      </c>
      <c r="I5" s="12" t="s">
        <v>33</v>
      </c>
      <c r="J5" s="12" t="s">
        <v>33</v>
      </c>
      <c r="K5" s="30">
        <v>20000</v>
      </c>
      <c r="L5" s="16" t="s">
        <v>33</v>
      </c>
      <c r="M5" s="18" t="s">
        <v>46</v>
      </c>
      <c r="N5" s="33">
        <v>45962</v>
      </c>
      <c r="O5" s="40">
        <v>46326</v>
      </c>
      <c r="P5" s="40" t="s">
        <v>135</v>
      </c>
      <c r="Q5" s="12" t="s">
        <v>33</v>
      </c>
      <c r="R5" s="12" t="s">
        <v>33</v>
      </c>
      <c r="S5" s="8" t="s">
        <v>136</v>
      </c>
      <c r="T5" s="31"/>
    </row>
    <row r="6" spans="1:20" s="23" customFormat="1" ht="152.25" x14ac:dyDescent="0.2">
      <c r="A6" s="12">
        <v>2</v>
      </c>
      <c r="B6" s="18" t="s">
        <v>143</v>
      </c>
      <c r="C6" s="8" t="s">
        <v>137</v>
      </c>
      <c r="D6" s="12" t="s">
        <v>138</v>
      </c>
      <c r="E6" s="8" t="s">
        <v>33</v>
      </c>
      <c r="F6" s="8" t="s">
        <v>45</v>
      </c>
      <c r="G6" s="12" t="s">
        <v>33</v>
      </c>
      <c r="H6" s="12" t="s">
        <v>33</v>
      </c>
      <c r="I6" s="12" t="s">
        <v>33</v>
      </c>
      <c r="J6" s="12" t="s">
        <v>33</v>
      </c>
      <c r="K6" s="30">
        <v>38600</v>
      </c>
      <c r="L6" s="16" t="s">
        <v>33</v>
      </c>
      <c r="M6" s="18" t="s">
        <v>46</v>
      </c>
      <c r="N6" s="33">
        <v>45962</v>
      </c>
      <c r="O6" s="40">
        <v>46326</v>
      </c>
      <c r="P6" s="8" t="s">
        <v>140</v>
      </c>
      <c r="Q6" s="8" t="s">
        <v>141</v>
      </c>
      <c r="R6" s="12" t="s">
        <v>33</v>
      </c>
      <c r="S6" s="8" t="s">
        <v>139</v>
      </c>
      <c r="T6" s="32"/>
    </row>
    <row r="7" spans="1:20" s="15" customFormat="1" ht="108.75" x14ac:dyDescent="0.5">
      <c r="A7" s="12">
        <v>3</v>
      </c>
      <c r="B7" s="14"/>
      <c r="C7" s="8" t="s">
        <v>144</v>
      </c>
      <c r="D7" s="12" t="s">
        <v>63</v>
      </c>
      <c r="E7" s="8" t="s">
        <v>146</v>
      </c>
      <c r="F7" s="8" t="s">
        <v>64</v>
      </c>
      <c r="G7" s="12" t="s">
        <v>33</v>
      </c>
      <c r="H7" s="12" t="s">
        <v>33</v>
      </c>
      <c r="I7" s="12" t="s">
        <v>33</v>
      </c>
      <c r="J7" s="12" t="s">
        <v>33</v>
      </c>
      <c r="K7" s="12" t="s">
        <v>33</v>
      </c>
      <c r="L7" s="16">
        <v>14000000</v>
      </c>
      <c r="M7" s="8" t="s">
        <v>145</v>
      </c>
      <c r="N7" s="35">
        <v>25153</v>
      </c>
      <c r="O7" s="35">
        <v>25518</v>
      </c>
      <c r="P7" s="12" t="s">
        <v>33</v>
      </c>
      <c r="Q7" s="12" t="s">
        <v>33</v>
      </c>
      <c r="R7" s="12" t="s">
        <v>33</v>
      </c>
      <c r="S7" s="12" t="s">
        <v>33</v>
      </c>
      <c r="T7" s="14"/>
    </row>
  </sheetData>
  <mergeCells count="17">
    <mergeCell ref="A1:T1"/>
    <mergeCell ref="A2:T2"/>
    <mergeCell ref="A3:A4"/>
    <mergeCell ref="B3:B4"/>
    <mergeCell ref="C3:C4"/>
    <mergeCell ref="D3:D4"/>
    <mergeCell ref="E3:E4"/>
    <mergeCell ref="F3:F4"/>
    <mergeCell ref="G3:H3"/>
    <mergeCell ref="I3:J3"/>
    <mergeCell ref="T3:T4"/>
    <mergeCell ref="K3:L3"/>
    <mergeCell ref="M3:M4"/>
    <mergeCell ref="N3:N4"/>
    <mergeCell ref="O3:O4"/>
    <mergeCell ref="P3:R3"/>
    <mergeCell ref="S3:S4"/>
  </mergeCells>
  <phoneticPr fontId="10" type="noConversion"/>
  <pageMargins left="0.23622047244094491" right="0" top="0.31496062992125984" bottom="0" header="0.51181102362204722" footer="0"/>
  <pageSetup paperSize="9"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8</vt:i4>
      </vt:variant>
      <vt:variant>
        <vt:lpstr>ช่วงที่มีชื่อ</vt:lpstr>
      </vt:variant>
      <vt:variant>
        <vt:i4>2</vt:i4>
      </vt:variant>
    </vt:vector>
  </HeadingPairs>
  <TitlesOfParts>
    <vt:vector size="10" baseType="lpstr">
      <vt:lpstr>รวม</vt:lpstr>
      <vt:lpstr>ก.พ.68 </vt:lpstr>
      <vt:lpstr>พ.ค.68</vt:lpstr>
      <vt:lpstr>มิ.ย.68</vt:lpstr>
      <vt:lpstr>ก.ค.68</vt:lpstr>
      <vt:lpstr>ส.ค.68</vt:lpstr>
      <vt:lpstr>ก.ย.68 </vt:lpstr>
      <vt:lpstr>พ.ย.68</vt:lpstr>
      <vt:lpstr>ก.ค.68!Print_Titles</vt:lpstr>
      <vt:lpstr>มิ.ย.68!Print_Titles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nook-pc</dc:creator>
  <cp:lastModifiedBy>ทศพร เอี่ยมสะอาด</cp:lastModifiedBy>
  <cp:lastPrinted>2025-12-16T06:55:39Z</cp:lastPrinted>
  <dcterms:created xsi:type="dcterms:W3CDTF">2015-01-20T08:09:02Z</dcterms:created>
  <dcterms:modified xsi:type="dcterms:W3CDTF">2026-06-08T06:34:41Z</dcterms:modified>
</cp:coreProperties>
</file>
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novo\OneDrive\Desktop\ประชุมคณะ\"/>
    </mc:Choice>
  </mc:AlternateContent>
  <xr:revisionPtr revIDLastSave="0" documentId="13_ncr:1_{5EF72999-6778-4041-9CA4-573FA7666E4F}" xr6:coauthVersionLast="47" xr6:coauthVersionMax="47" xr10:uidLastSave="{00000000-0000-0000-0000-000000000000}"/>
  <bookViews>
    <workbookView xWindow="2610" yWindow="0" windowWidth="17100" windowHeight="15480" firstSheet="2" activeTab="3" xr2:uid="{23E1BA86-1F8E-46EC-8514-6E9130231468}"/>
  </bookViews>
  <sheets>
    <sheet name="1-โครงการวิจัย" sheetId="2" r:id="rId1"/>
    <sheet name="2-โครงการพัฒนาวิชาการ" sheetId="3" r:id="rId2"/>
    <sheet name="3-งานบริการวิชาการ" sheetId="4" r:id="rId3"/>
    <sheet name="4-ผลงานทางวิชาการ" sheetId="5" r:id="rId4"/>
  </sheets>
  <definedNames>
    <definedName name="_xlnm.Print_Titles" localSheetId="1">'2-โครงการพัฒนาวิชาการ'!$1:$5</definedName>
    <definedName name="_xlnm.Print_Titles" localSheetId="2">'3-งานบริการวิชาการ'!$1:$4</definedName>
    <definedName name="_xlnm.Print_Titles" localSheetId="3">'4-ผลงานทางวิชาการ'!$1:$4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7" i="3" l="1"/>
  <c r="M7" i="3" s="1"/>
  <c r="J6" i="3"/>
  <c r="M6" i="3" s="1"/>
  <c r="K6" i="3" l="1"/>
  <c r="K7" i="3"/>
  <c r="L6" i="3"/>
  <c r="L7" i="3"/>
</calcChain>
</file>

<file path=xl/sharedStrings.xml><?xml version="1.0" encoding="utf-8"?>
<sst xmlns="http://schemas.openxmlformats.org/spreadsheetml/2006/main" count="361" uniqueCount="191">
  <si>
    <t>สรุปโครงการวิจัยคณะวิศวกรรมศาสตร์ กำแพงแสน</t>
  </si>
  <si>
    <t>เดือนเมษายน 2569</t>
  </si>
  <si>
    <t>ลำดับ
ที่</t>
  </si>
  <si>
    <t>รหัส
โครงการ</t>
  </si>
  <si>
    <t>ชื่อโครงการ</t>
  </si>
  <si>
    <t>หัวหน้าโครงการ</t>
  </si>
  <si>
    <t>ผู้ร่วมวิจัย</t>
  </si>
  <si>
    <t>หน่วยงาน
รับผิดชอบ</t>
  </si>
  <si>
    <t>ความร่วมมือ</t>
  </si>
  <si>
    <t>ลักษณะโครงการ</t>
  </si>
  <si>
    <t>งบประมาณ</t>
  </si>
  <si>
    <t>แหล่งทุนวิจัย</t>
  </si>
  <si>
    <t>ระยะเวลาเริ่มดำเนินการ</t>
  </si>
  <si>
    <t>ระยะเวลาสิ้นสุดการดำเนินการ</t>
  </si>
  <si>
    <t>การบูรณาการ</t>
  </si>
  <si>
    <t>ระดับ
TRL</t>
  </si>
  <si>
    <t>หมายเหตุ</t>
  </si>
  <si>
    <t>ใน
ประเทศ</t>
  </si>
  <si>
    <t>ต่าง
ประเทศ</t>
  </si>
  <si>
    <t>สร้างความเข้มแข็ง</t>
  </si>
  <si>
    <t>สอดคล้องกับนโยบาย</t>
  </si>
  <si>
    <t>ภายใน</t>
  </si>
  <si>
    <t>ภายนอก</t>
  </si>
  <si>
    <t>การนำความรู้จากการสอนรายวิชา</t>
  </si>
  <si>
    <t>นำวิจัยมาใช้การเรียนการสอน</t>
  </si>
  <si>
    <t>การบริการวิชาการ/      ชื่อโครงการ</t>
  </si>
  <si>
    <t>การพัฒนาพื้นที่เพื่อเตรียมความ
พร้อมรับมือกับปัญหาภัยแล้งและ
ปัญหาอุทกภัย ในพื้นที่เสี่ยงภัยที่มี
ความสำคัญทางเศรษฐกิจและ
สังคม ปีที่ 2</t>
  </si>
  <si>
    <t>รศ.ดร.สมชาย ดอนเจดีย์</t>
  </si>
  <si>
    <t>รศ.ดร.วราวุธ  วุฒิวณิชย์
อ.ชัยยะ พึ่งโพธิ์สภ
ผศ.นิมิตร เฉิดฉันท์พิพัฒน์
รศ.ดร.ศศรส ใจจิตร์
ผศ.ดร.เกศวรา สิทธิโชค
นายสรายุทธ อิ่มใจ
รศ.จุฑา พิชิตลำเค็ญ
ผศ.ดร.พิเชษฐ์ สืบสายพรหม
ผศ.วิเนตร แสนหาญ
นายรสุ สืบสหการ
ผศ.ดร.สิรัญญา ทองชาติ
ดร.ธนัญกรณ์ ใจผ่อง
นางสาวลพรรณพลอย ชาวเรือ
นายทิตินัย เทียนแย้ม
นางสาวพัชรียา ไวภารา
นายปรเมศวร์ จอนแจ้ง
นายประเสริฐ ล่ำภากร
นายวีระพงษ์ กระแสธีป
นางสาวศศิธร ชลรัตน์อมฤต
นายมาโนช ทองดอนเหมือน
นางสาวภัคจิรา สุขเกตุ
นายณัฐพล วุฒิจันทร์
นายเลอบุญ อุดมทรัพย์</t>
  </si>
  <si>
    <t>ภาควิชา
วิศวกรรมชลประทาน</t>
  </si>
  <si>
    <t>-</t>
  </si>
  <si>
    <t>สำนักงานพัฒนาการวิจัย
การเกษตร(สวก.)</t>
  </si>
  <si>
    <t>การใช้เทคโนโลยีจัดการน้ำ-ปุ๋ยและจัดการผลิตมะม่วงน้ำดอกไม้สีทองที่เหมาะสมในพื้นที่ประสบภัยแล้งจังหวัดขอนแก่นและชัยภูมิเพื่อการส่งออกและผลิตนอกฤดู</t>
  </si>
  <si>
    <t>รศ.ดร.รณฤทธิ์ ฤทธิรณ</t>
  </si>
  <si>
    <t>รศ.ดร.พีระศักดิ์ ฉายประสาท
รศ.ดร.สุภัทร์ อิศรางกูร ณ อยุธยา
ผศ.บุญมา ป้านประดิษฐ์
ผศ.ดร.ศุภัชญา นามพิลา
ผศ.ดร.พัชรี สุริยะ
ดร.นุชนาฏ ภักดี
นายพุทธพงษ์ สร้อยเพชรเกษม
นายสมยศ มีทา
นายนิกูล ทองดี</t>
  </si>
  <si>
    <t>ภาควิชา
วิศวกรรมการอาหาร</t>
  </si>
  <si>
    <t>สำนักงานการวิจัยแห่งชาติ(วช.)</t>
  </si>
  <si>
    <t>การพัฒนาระบบสารสนเทศเพื่อ
ปรับปรุงกระบวนการติดตามและ
วิเคราะห์ผลการดำเนินโครงการที่
เชื่อมโยงกับแผนยุทธศาสตร์ด้าน
กิจการนิสิต: กรณีศึกษา 
มหาวิทยาลัยเกษตรศาสตร์ 
วิทยาเขตกำแพงแสน</t>
  </si>
  <si>
    <t>ผศ.อธิวัฒน์ บุญมี</t>
  </si>
  <si>
    <t>ผศ.วรญา เนื่องมัจฉา
นางนภัสวรรณ คำฝั้น
นายพีระภัทร ตามประดิษฐ์
นางบังอร บรรณจิรกุล
นางสาวแพรว เกียรติกำจาย
นางสาวพริม เกียรติกำจาย</t>
  </si>
  <si>
    <t>ภาควิชา
วิศวกรรมอุตสาหการ</t>
  </si>
  <si>
    <t>ทุนอุดหนุนการวิจัย 
คณะวิศวกรรมศาสตร์ กำแพงแสน ประจำปีงบประมาณ 2569</t>
  </si>
  <si>
    <t>สรุปโครงการพัฒนาวิชาการ</t>
  </si>
  <si>
    <t>ผู้ร่วมโครงการ</t>
  </si>
  <si>
    <t>หน่วยงาน
ดำเนินการ</t>
  </si>
  <si>
    <t>ผู้ขอรับบริการ</t>
  </si>
  <si>
    <t>การจัดสรร</t>
  </si>
  <si>
    <t>บรูณาการการใช้ประโยชน์</t>
  </si>
  <si>
    <t>ระยะเวลาดำเนินการ</t>
  </si>
  <si>
    <t>วันที่นำไปบูรณาการ</t>
  </si>
  <si>
    <t>ระเบียนโครงการ</t>
  </si>
  <si>
    <t>สถานะโครงการ</t>
  </si>
  <si>
    <t>ครั้งแรก</t>
  </si>
  <si>
    <t>มากกว่า 1 ครั้ง</t>
  </si>
  <si>
    <t>ค่า
อำนวย
การ
15 %</t>
  </si>
  <si>
    <t>คณะ
5%</t>
  </si>
  <si>
    <t xml:space="preserve">ภาค
วิชา
5% </t>
  </si>
  <si>
    <t>มก.
5%</t>
  </si>
  <si>
    <t>โครงการ
วิจัย</t>
  </si>
  <si>
    <t>สิทธิบัตร/
อนุสิทธิบัตร</t>
  </si>
  <si>
    <t>สอดคล้องกับนโยบายชาติ</t>
  </si>
  <si>
    <t>เพิ่มมูลค่า</t>
  </si>
  <si>
    <t>เริ่มต้น</t>
  </si>
  <si>
    <t>สิ้นสุด</t>
  </si>
  <si>
    <t>การประเมินผลของสารกระตุ้นทางชีวภาพต่อการเจริญเติบโตและผลผลิตของอ้อยและมันสำปะหลัง ณ มหาวิทยาลัยเกษตรศาสตร์ วิทยาเขตกำแพงแสน ประเทศไทย ระยะที่ 2</t>
  </si>
  <si>
    <t>รศ.ดร.ชัยศรี สุขสาโรจน์</t>
  </si>
  <si>
    <t>บริษัท 
อายิโนะโมะโต๊ะ จำกัด</t>
  </si>
  <si>
    <t xml:space="preserve">02207321
การออกแบบระบบชลประทานในฟาร์ม </t>
  </si>
  <si>
    <t>00725/69</t>
  </si>
  <si>
    <t>การจ้างดำเนินงานโครงการการประเมินผลสัมฤทธิ์โครงการของกรมทรัพยากรน้ำ กรมทรัพยากรน้ำ แขวงพญาไท เขตพญาไท กรุงเทพมหานคร ประจำปีงบประมาณ พ.ศ. 2569</t>
  </si>
  <si>
    <t>ผศ.ดร.ไชยาพงษ์ 
เทพประสิทธิ์</t>
  </si>
  <si>
    <t>กรมทรัพยากรน้ำ</t>
  </si>
  <si>
    <t>02207542
Project Planning and Assessment</t>
  </si>
  <si>
    <t>00779/69</t>
  </si>
  <si>
    <t>สรุปข้อมูลผลงานบริการวิชาการคณะวิศวกรรมศาสตร์ กำแพงแสน</t>
  </si>
  <si>
    <t>ประจำเดือนเมษายน 2569</t>
  </si>
  <si>
    <t>เรื่อง</t>
  </si>
  <si>
    <t>กลุ่มเป้าหมาย</t>
  </si>
  <si>
    <t>ประเภท</t>
  </si>
  <si>
    <t>ชื่อ - นามสกุล</t>
  </si>
  <si>
    <t>ภาควิชา/ศูนย์ฯ</t>
  </si>
  <si>
    <t>วัน/เดือน/ปี</t>
  </si>
  <si>
    <t>จำนวนชั่วโมง</t>
  </si>
  <si>
    <t>จำนวนคน</t>
  </si>
  <si>
    <t>วิทยากร/อาจารย์พิเศษ</t>
  </si>
  <si>
    <t>วิชาการ</t>
  </si>
  <si>
    <t>วิชาชีพ</t>
  </si>
  <si>
    <t>ผู้ทรงคุณวุฒิ</t>
  </si>
  <si>
    <t>วิทยานิพนธ์ภายนอก</t>
  </si>
  <si>
    <t>ศึกษาดูงาน วศ.กพส.</t>
  </si>
  <si>
    <t xml:space="preserve">เป็นประธานกรรมการประเมินคุณภาพการศึกษาเพื่อดำเนินการที่เป็นเลิศ ระดับสายสนับสนุน </t>
  </si>
  <si>
    <t>มหาวิทยาลัยเกษตรศาสตร์</t>
  </si>
  <si>
    <t>ü</t>
  </si>
  <si>
    <t>รศ.ดร.เบญญา กสานติกุล</t>
  </si>
  <si>
    <t>ภาควิชา
วิศวกรรมเครื่องกล</t>
  </si>
  <si>
    <t>เป็นผู้ทรงคุณวุฒิในการประชุมปรึกษาหารือทางวิชาการเพื่อให้คำแนะนำและแลกเปลี่ยนแนวคิดในหัวข้อ"เทคโนโลยีและการจัดการโรงเรือนปิดสำหรับการปลูกหญ้าหวานเชิงพาณิชย์"</t>
  </si>
  <si>
    <t>บริษัท ชิล ทอล์ค จำกัด</t>
  </si>
  <si>
    <t>เป็นผู้ทรงคุณวุฒิ
ประเมินบทความนานาชาติ</t>
  </si>
  <si>
    <t>วารสาร Water</t>
  </si>
  <si>
    <t>งานประชุมวิชาการวิศวกรรมโยธาแห่งชาติ 
ครั้งที่ 31 (2569)</t>
  </si>
  <si>
    <t>ประชุมคณะอนุกรรมการวิชาการและบริหารจัดการลุ่มน้ำเจ้าพระยา ครั้งที่ 2/2569</t>
  </si>
  <si>
    <t>คณะอนุกรรมการวิชาการและบริหารจัดการลุ่มน้ำเจ้าพระยา</t>
  </si>
  <si>
    <t>รศ.ดร.บัญชา ขวัญยืน</t>
  </si>
  <si>
    <t>ประชุมคณะอนุกรรมการขับเคลื่อนแผนแม่บทการบริหารจัดการทรัพยากรน้ำในเขตลุ่มน้ำเจ้าพระยา ครั้งที่ 2/2569</t>
  </si>
  <si>
    <t xml:space="preserve">ประชุมคณะอนุกรรมการขับเคลื่อนแผนแม่บทการบริหารจัดการทรัพยากรน้ำในเขตลุ่มน้ำเจ้าพระยา </t>
  </si>
  <si>
    <t>ประชุมคณะกรรมการลุ่มน้ำเจ้าพระยา ครั้งที่ 3/2569</t>
  </si>
  <si>
    <t xml:space="preserve">ประชุมคณะกรรมการลุ่มน้ำเจ้าพระยา </t>
  </si>
  <si>
    <t>เป็นผู้ทรงคุณวุฒิในการประเมินผลกระทบของโครงการ ภายใต้โครงการเรื่อง ระบบการให้น้ำอย่างแม่นยำในสวนมะม่วงน้ำดอกไม้สีทองเพื่อการส่งออกจ.ขอนแก่นและจ.ชัยภูมิ</t>
  </si>
  <si>
    <t>กลุ่มวิสาหกิจชุมชนมะม่วงบ้านแฮดเพื่อการส่งออก จ.ขอนแก่น และกลุ่มสตรีสหกรณ์บ้านโหล่น จ.ชัยภูมิ</t>
  </si>
  <si>
    <t xml:space="preserve">27-30 
เม.ย.69
</t>
  </si>
  <si>
    <t>สอบความก้าวหน้าวิทยานิพนธ์</t>
  </si>
  <si>
    <t>ผศ.ดร.เพ็ญพิชชา สนิทอินทร์</t>
  </si>
  <si>
    <t>ภาควิชา
วิศวกรรมโยธา</t>
  </si>
  <si>
    <t>Keynote Speaker ในการสัมมนาออนไลน์ CAU-KU Online Workshop on Intelligent Agricultural Machinery and Smart Agriculture</t>
  </si>
  <si>
    <t>China Agricultural University</t>
  </si>
  <si>
    <t>ผศ.ดร.วันรัฐ  อับดุลลากาซิม</t>
  </si>
  <si>
    <t>ภาควิชา
วิศวกรรมเกษตร</t>
  </si>
  <si>
    <t>สรุปข้อมูลสิ่งตีพิมพ์ผลงานทางวิชาการ ประจำปี 2569</t>
  </si>
  <si>
    <t>ชื่อผลงานทางวิชาการ</t>
  </si>
  <si>
    <t>ชนิดของผลงาน</t>
  </si>
  <si>
    <t>ระดับ</t>
  </si>
  <si>
    <t>จำนวนเงินสนับสนุน</t>
  </si>
  <si>
    <t>เจ้าของผลงาน</t>
  </si>
  <si>
    <t>ผู้ร่วม</t>
  </si>
  <si>
    <t>สังกัดภาควิชา/สาขาวิชา</t>
  </si>
  <si>
    <t>รายละเอียดวารสาร/การประชุม</t>
  </si>
  <si>
    <t>Volume</t>
  </si>
  <si>
    <t>Issue</t>
  </si>
  <si>
    <t>Page start</t>
  </si>
  <si>
    <t>Page end</t>
  </si>
  <si>
    <t>ต่างชาติ</t>
  </si>
  <si>
    <t>ภายในประเทศ</t>
  </si>
  <si>
    <t>Impact of high-pressure homogenization and ultrasonic techniques on production  and characterization of carboxymethyl cellulose from lignocellulosic rice husks</t>
  </si>
  <si>
    <t>ตีพิมพ์</t>
  </si>
  <si>
    <t>นานาชาติ</t>
  </si>
  <si>
    <t>ศ.ดร.รังสินี โสธรวิทย์</t>
  </si>
  <si>
    <t>Namfon Samsallee,
Jitrawadee Meerasri,
Thidarat Bumrungpakdee,
Maria Bernardita PerezGago,
and Rungsinee Sothornvit,</t>
  </si>
  <si>
    <t xml:space="preserve">Biomass Conversion and Biorefinery            </t>
  </si>
  <si>
    <t xml:space="preserve">Article no. 172   </t>
  </si>
  <si>
    <t>Q2</t>
  </si>
  <si>
    <t>Prototype Framework for Agricultural Drought Monitoring in Northern Thailand Using Satellite-Based Evaporative Stress Index</t>
  </si>
  <si>
    <t>ผศ.ดร.ชูพันธุ์ ชมภูจันทร์</t>
  </si>
  <si>
    <t xml:space="preserve">นางสาวนพนภา บุญพิน
ดร.พัชรียา ไวภารา
</t>
  </si>
  <si>
    <t xml:space="preserve">Journal of Agrometeorology </t>
  </si>
  <si>
    <t>Gully erosion susceptibility assessment in Jhang-Ping and          Ping-Lin watersheds: a risk-based model using conditioning indicators</t>
  </si>
  <si>
    <t xml:space="preserve">Asst.Prof.Dr.Wen-Yan Zhang,
Chih-Wei Chuang,
Fu-jun Tu,
Shu-Tzu Chen,
Hsiu-Hui Huang
</t>
  </si>
  <si>
    <t xml:space="preserve"> Environmental Earth Sciences   </t>
  </si>
  <si>
    <t>Q1</t>
  </si>
  <si>
    <t>Exploring Natural Cotton  FRP as a Sustainable Method for Confinement of Concrete Made with Natural and Recycled Aggregates</t>
  </si>
  <si>
    <t>ผศ.ชิษณุพงศ์ สุธัมมะ</t>
  </si>
  <si>
    <t xml:space="preserve">Panumas Saingam,
Burachat Chatveera,
Gritsada Sua-lam,
Preeda Chaimahawan,
Chisanuphong Suthumma,
Panuwat Joyklad,
Qudeer Hussain and 
Afaq Ahmad </t>
  </si>
  <si>
    <t xml:space="preserve">Journal of Natural Fibers </t>
  </si>
  <si>
    <t>2634403/1</t>
  </si>
  <si>
    <t>From Experiment to Prediction: Machine Learning Solutions for Concrete Strength Assessment with Steel Clamps</t>
  </si>
  <si>
    <t>Buildings</t>
  </si>
  <si>
    <t>16(2026)</t>
  </si>
  <si>
    <t>851/4</t>
  </si>
  <si>
    <t>การประเมินค่าปริมาณของแข็งที่ละลายได้ของผลแตงโมพันธุ์ซอนญ่าด้วยเทคนิคภาพสเปกโทรสโกปีอินฟราเรดย่านใกล้</t>
  </si>
  <si>
    <t>ชาติ</t>
  </si>
  <si>
    <t>รศ.ดร.แก้วกานต์ พวงสมบัติ</t>
  </si>
  <si>
    <t xml:space="preserve">นายพชร สืบสรวง,
ศ.ดร.อนุพันธ์ เทอดวงศ์วรกุล,
รศ.ดร.อาทิตย์ พวงสมบัติ,
รศ.อมรเดช พุทธิพิพัฒน์ขจร
</t>
  </si>
  <si>
    <t xml:space="preserve">วารสารวิชาการเกษตร </t>
  </si>
  <si>
    <t>TCI1</t>
  </si>
  <si>
    <t>Investor-Centric Policy Prioritization for Biomass Energy in Thailand: An Analytic Hierarchy Process Decision-Support Model</t>
  </si>
  <si>
    <t>เตรียมความ
พร้อม</t>
  </si>
  <si>
    <t>ผศ.ดร.ศศิวิมล ขาวโกมล</t>
  </si>
  <si>
    <t>ผศ.ดร.จุติเทพ วงษ์เพ็ชร์</t>
  </si>
  <si>
    <t xml:space="preserve">ภาควิชา
วิศวกรรมชลประทาน  </t>
  </si>
  <si>
    <t>Q1
ค่าธรรมเนียมตีพิมพ์</t>
  </si>
  <si>
    <t>กรรมวิธีการผลิต เพกทินชนิดเมทอกซิลต่ำโดยใช้กระบวนการอิเล็กโทรลิซิส</t>
  </si>
  <si>
    <t>เตรียมความ
พร้อมขอสิทธิบัตร</t>
  </si>
  <si>
    <t>รศ.ดร.กอบศักดิ์ กาญจนาพงศ์กุล</t>
  </si>
  <si>
    <t xml:space="preserve">ภาควิชา
วิศวกรรมการอาหาร </t>
  </si>
  <si>
    <t>สิทธิบัตร</t>
  </si>
  <si>
    <t>ค่าบริการยกร่างคำขอ</t>
  </si>
  <si>
    <t>Evaluating the quality of pellets durian peel waste: potential and carbon footprint on production</t>
  </si>
  <si>
    <t>เตรียมความพร้อม</t>
  </si>
  <si>
    <t>รศ.ดร.พิมพ์พรรณ ปรืองาม</t>
  </si>
  <si>
    <t>ผศ.นงลักษณ์ เล็กรุ่งเรืองกิจ
รศ.ดร.ประเทือง อุษาบริสุทธิ์</t>
  </si>
  <si>
    <t>Intermolecularly aggregated complexation between faba bean protein and purified (NADES-retrieved) acidic phenolics is inferior to its soy protein-phenolic counterpart</t>
  </si>
  <si>
    <t>Laychintong Ly</t>
  </si>
  <si>
    <t xml:space="preserve">วารสาร International Journal of Biological Macromolecules </t>
  </si>
  <si>
    <t xml:space="preserve">ภาควิชา
วิศวกรรมเกษตร </t>
  </si>
  <si>
    <t xml:space="preserve">Sustainable Chemistry for Climate Action     </t>
  </si>
  <si>
    <t>Interpreting Satellite Rainfall Bias Correction Through a Rainfall-Runoff Framework in a Monsoon-Influenced River Basin: The Phetchaburi River Basin, Thailand</t>
  </si>
  <si>
    <t xml:space="preserve">Thirasak Saion,
Ketvara Sittichok,
Songsak Puttrawtichai,
Chaiyapong Thepprasit,
Pklpech Samanmit,
Bancha Kwanyen ,
Sasiwimol Khawkomol
</t>
  </si>
  <si>
    <t xml:space="preserve">
Q1
ค่าธรรมเนียมตีพิมพ์</t>
  </si>
  <si>
    <t>Water-centric nexus assessment and critical land-use thresholds for economic crops in central Thailand</t>
  </si>
  <si>
    <t xml:space="preserve">Thunwadee tachapattaworakul suksaroj,
noppadon kowsuvon,
saudee maprasit,
apirak srisook,
wichukorn Suriyawongpaisal,
songsak puttrawutichai,
polpech samanmit, 
nuttaya namin
</t>
  </si>
  <si>
    <t>ค่าธรรมเนียมตีพิมพ์</t>
  </si>
  <si>
    <r>
      <rPr>
        <b/>
        <sz val="20"/>
        <color rgb="FFFF0000"/>
        <rFont val="TH Sarabun New"/>
        <family val="2"/>
      </rPr>
      <t>หมายเหตุ :</t>
    </r>
    <r>
      <rPr>
        <sz val="20"/>
        <color rgb="FFFF0000"/>
        <rFont val="TH Sarabun New"/>
        <family val="2"/>
      </rPr>
      <t xml:space="preserve"> เป็นผลงานที่ส่งเบิกเงินสนับสนุนจากคณะฯ ในเดือนเมษายน 2569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</si>
</sst>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87" formatCode="_-* #,##0_-;\-* #,##0_-;_-* &quot;-&quot;??_-;_-@_-"/>
  </numFmts>
  <fonts count="23" x14ac:knownFonts="1">
    <font>
      <sz val="11"/>
      <color theme="1"/>
      <name val="Tahoma"/>
      <family val="2"/>
      <charset val="222"/>
      <scheme val="minor"/>
    </font>
    <font>
      <sz val="11"/>
      <color theme="1"/>
      <name val="Tahoma"/>
      <family val="2"/>
      <charset val="222"/>
      <scheme val="minor"/>
    </font>
    <font>
      <b/>
      <sz val="11"/>
      <color rgb="FFFA7D00"/>
      <name val="Tahoma"/>
      <family val="2"/>
      <charset val="222"/>
      <scheme val="minor"/>
    </font>
    <font>
      <b/>
      <sz val="16"/>
      <name val="TH Sarabun New"/>
      <family val="2"/>
    </font>
    <font>
      <sz val="14"/>
      <name val="TH Sarabun New"/>
      <family val="2"/>
    </font>
    <font>
      <sz val="14"/>
      <color theme="1"/>
      <name val="TH Sarabun New"/>
      <family val="2"/>
    </font>
    <font>
      <sz val="11"/>
      <color theme="1"/>
      <name val="TH Sarabun New"/>
      <family val="2"/>
    </font>
    <font>
      <b/>
      <sz val="14"/>
      <name val="TH Sarabun New"/>
      <family val="2"/>
    </font>
    <font>
      <sz val="16"/>
      <name val="TH Sarabun New"/>
      <family val="2"/>
    </font>
    <font>
      <sz val="10"/>
      <name val="Arial"/>
      <family val="2"/>
    </font>
    <font>
      <sz val="16"/>
      <color rgb="FF000000"/>
      <name val="TH SarabunPSK"/>
      <family val="2"/>
    </font>
    <font>
      <sz val="16"/>
      <name val="Wingdings"/>
      <charset val="2"/>
    </font>
    <font>
      <sz val="16"/>
      <name val="TH Sarabun New"/>
      <family val="2"/>
      <charset val="222"/>
    </font>
    <font>
      <sz val="15"/>
      <name val="TH Sarabun New"/>
      <family val="2"/>
    </font>
    <font>
      <sz val="11"/>
      <color theme="1"/>
      <name val="Tahoma"/>
      <family val="2"/>
      <charset val="222"/>
    </font>
    <font>
      <sz val="12"/>
      <name val="TH Sarabun New"/>
      <family val="2"/>
    </font>
    <font>
      <sz val="14"/>
      <color indexed="8"/>
      <name val="TH Sarabun New"/>
      <family val="2"/>
    </font>
    <font>
      <sz val="12"/>
      <color indexed="8"/>
      <name val="TH Sarabun New"/>
      <family val="2"/>
    </font>
    <font>
      <sz val="14"/>
      <color rgb="FFFF0000"/>
      <name val="TH Sarabun New"/>
      <family val="2"/>
    </font>
    <font>
      <sz val="12"/>
      <color rgb="FF000000"/>
      <name val="TH Sarabun New"/>
      <family val="2"/>
    </font>
    <font>
      <sz val="20"/>
      <color rgb="FFFF0000"/>
      <name val="TH Sarabun New"/>
      <family val="2"/>
    </font>
    <font>
      <b/>
      <sz val="20"/>
      <color rgb="FFFF0000"/>
      <name val="TH Sarabun New"/>
      <family val="2"/>
    </font>
    <font>
      <sz val="20"/>
      <color indexed="8"/>
      <name val="TH Sarabun New"/>
      <family val="2"/>
    </font>
  </fonts>
  <fills count="3">
    <fill>
      <patternFill patternType="none"/>
    </fill>
    <fill>
      <patternFill patternType="gray125"/>
    </fill>
    <fill>
      <patternFill patternType="solid">
        <fgColor rgb="FFF2F2F2"/>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43" fontId="1" fillId="0" borderId="0" applyFont="0" applyFill="0" applyBorder="0" applyAlignment="0" applyProtection="0"/>
    <xf numFmtId="0" fontId="2" fillId="2" borderId="1" applyNumberFormat="0" applyAlignment="0" applyProtection="0"/>
    <xf numFmtId="0" fontId="9" fillId="0" borderId="0" applyFont="0" applyFill="0" applyBorder="0" applyAlignment="0" applyProtection="0"/>
    <xf numFmtId="0" fontId="14" fillId="0" borderId="0"/>
  </cellStyleXfs>
  <cellXfs count="118">
    <xf numFmtId="0" fontId="0" fillId="0" borderId="0" xfId="0"/>
    <xf numFmtId="0" fontId="4" fillId="0" borderId="0" xfId="0" applyFont="1"/>
    <xf numFmtId="0" fontId="3" fillId="0" borderId="1" xfId="2" applyFont="1" applyFill="1" applyAlignment="1">
      <alignment horizontal="center" vertical="top" textRotation="90"/>
    </xf>
    <xf numFmtId="0" fontId="4" fillId="0" borderId="0" xfId="0" applyFont="1" applyAlignment="1">
      <alignment vertical="top"/>
    </xf>
    <xf numFmtId="0" fontId="3" fillId="0" borderId="2" xfId="2" applyFont="1" applyFill="1" applyBorder="1" applyAlignment="1">
      <alignment horizontal="center" vertical="top" wrapText="1"/>
    </xf>
    <xf numFmtId="0" fontId="3" fillId="0" borderId="2" xfId="2" applyFont="1" applyFill="1" applyBorder="1" applyAlignment="1">
      <alignment horizontal="center" vertical="top"/>
    </xf>
    <xf numFmtId="0" fontId="5" fillId="0" borderId="3" xfId="0" applyFont="1" applyBorder="1" applyAlignment="1">
      <alignment horizontal="center" vertical="top"/>
    </xf>
    <xf numFmtId="0" fontId="5" fillId="0" borderId="3" xfId="0" applyFont="1" applyBorder="1" applyAlignment="1">
      <alignment vertical="top"/>
    </xf>
    <xf numFmtId="0" fontId="5" fillId="0" borderId="3" xfId="0" applyFont="1" applyBorder="1" applyAlignment="1">
      <alignment horizontal="center" vertical="top" wrapText="1"/>
    </xf>
    <xf numFmtId="0" fontId="6" fillId="0" borderId="3" xfId="0" applyFont="1" applyBorder="1" applyAlignment="1">
      <alignment horizontal="center" vertical="top" wrapText="1"/>
    </xf>
    <xf numFmtId="43" fontId="5" fillId="0" borderId="3" xfId="1" applyFont="1" applyFill="1" applyBorder="1" applyAlignment="1">
      <alignment horizontal="center" vertical="top"/>
    </xf>
    <xf numFmtId="14" fontId="5" fillId="0" borderId="3" xfId="0" applyNumberFormat="1" applyFont="1" applyBorder="1" applyAlignment="1">
      <alignment horizontal="center" vertical="top"/>
    </xf>
    <xf numFmtId="0" fontId="5" fillId="0" borderId="0" xfId="0" applyFont="1" applyAlignment="1">
      <alignment vertical="top"/>
    </xf>
    <xf numFmtId="0" fontId="5" fillId="0" borderId="3" xfId="0" applyFont="1" applyBorder="1"/>
    <xf numFmtId="0" fontId="4" fillId="0" borderId="3" xfId="0" applyFont="1" applyBorder="1" applyAlignment="1">
      <alignment horizontal="center" vertical="top" wrapText="1"/>
    </xf>
    <xf numFmtId="0" fontId="5" fillId="0" borderId="0" xfId="0" applyFont="1"/>
    <xf numFmtId="0" fontId="8" fillId="0" borderId="0" xfId="0" applyFont="1"/>
    <xf numFmtId="0" fontId="7" fillId="0" borderId="3" xfId="0" applyFont="1" applyBorder="1" applyAlignment="1">
      <alignment horizontal="center" vertical="top" wrapText="1" shrinkToFit="1"/>
    </xf>
    <xf numFmtId="0" fontId="7" fillId="0" borderId="3" xfId="0" applyFont="1" applyBorder="1" applyAlignment="1">
      <alignment horizontal="center" vertical="top" wrapText="1"/>
    </xf>
    <xf numFmtId="0" fontId="8" fillId="0" borderId="0" xfId="0" applyFont="1" applyAlignment="1">
      <alignment vertical="top"/>
    </xf>
    <xf numFmtId="0" fontId="4" fillId="0" borderId="3" xfId="0" applyFont="1" applyBorder="1" applyAlignment="1">
      <alignment horizontal="center" vertical="top"/>
    </xf>
    <xf numFmtId="0" fontId="10" fillId="0" borderId="16" xfId="0" applyFont="1" applyBorder="1" applyAlignment="1">
      <alignment horizontal="center" vertical="top" wrapText="1"/>
    </xf>
    <xf numFmtId="39" fontId="10" fillId="0" borderId="16" xfId="0" applyNumberFormat="1" applyFont="1" applyBorder="1" applyAlignment="1">
      <alignment vertical="top"/>
    </xf>
    <xf numFmtId="43" fontId="4" fillId="0" borderId="3" xfId="0" applyNumberFormat="1" applyFont="1" applyBorder="1" applyAlignment="1">
      <alignment horizontal="center" textRotation="90"/>
    </xf>
    <xf numFmtId="15" fontId="4" fillId="0" borderId="3" xfId="0" applyNumberFormat="1" applyFont="1" applyBorder="1" applyAlignment="1">
      <alignment horizontal="center" vertical="top"/>
    </xf>
    <xf numFmtId="15" fontId="4" fillId="0" borderId="3" xfId="0" applyNumberFormat="1" applyFont="1" applyBorder="1" applyAlignment="1">
      <alignment vertical="top"/>
    </xf>
    <xf numFmtId="0" fontId="10" fillId="0" borderId="16" xfId="0" applyFont="1" applyBorder="1" applyAlignment="1">
      <alignment horizontal="center" vertical="top"/>
    </xf>
    <xf numFmtId="43" fontId="4" fillId="0" borderId="3" xfId="1" applyFont="1" applyBorder="1" applyAlignment="1"/>
    <xf numFmtId="0" fontId="4" fillId="0" borderId="3" xfId="0" applyFont="1" applyBorder="1"/>
    <xf numFmtId="49" fontId="4" fillId="0" borderId="3" xfId="0" applyNumberFormat="1" applyFont="1" applyBorder="1" applyAlignment="1">
      <alignment horizontal="center" vertical="top" wrapText="1"/>
    </xf>
    <xf numFmtId="0" fontId="8" fillId="0" borderId="0" xfId="0" applyFont="1" applyAlignment="1">
      <alignment vertical="center"/>
    </xf>
    <xf numFmtId="0" fontId="8" fillId="0" borderId="0" xfId="0" applyFont="1" applyAlignment="1">
      <alignment wrapText="1"/>
    </xf>
    <xf numFmtId="0" fontId="8" fillId="0" borderId="0" xfId="0" applyFont="1" applyAlignment="1">
      <alignment horizontal="center" vertical="center"/>
    </xf>
    <xf numFmtId="43" fontId="8" fillId="0" borderId="0" xfId="1" applyFont="1" applyAlignment="1"/>
    <xf numFmtId="0" fontId="8" fillId="0" borderId="3" xfId="0" applyFont="1" applyBorder="1" applyAlignment="1">
      <alignment horizontal="center" vertical="top"/>
    </xf>
    <xf numFmtId="0" fontId="8" fillId="0" borderId="3" xfId="0" applyFont="1" applyBorder="1" applyAlignment="1">
      <alignment horizontal="center" vertical="top" wrapText="1"/>
    </xf>
    <xf numFmtId="0" fontId="11" fillId="0" borderId="3" xfId="0" applyFont="1" applyBorder="1" applyAlignment="1">
      <alignment vertical="top"/>
    </xf>
    <xf numFmtId="0" fontId="8" fillId="0" borderId="3" xfId="0" applyFont="1" applyBorder="1" applyAlignment="1">
      <alignment vertical="top"/>
    </xf>
    <xf numFmtId="15" fontId="8" fillId="0" borderId="3" xfId="0" applyNumberFormat="1" applyFont="1" applyBorder="1" applyAlignment="1">
      <alignment horizontal="center" vertical="top"/>
    </xf>
    <xf numFmtId="0" fontId="8" fillId="0" borderId="3" xfId="0" applyFont="1" applyBorder="1"/>
    <xf numFmtId="0" fontId="12" fillId="0" borderId="3" xfId="0" applyFont="1" applyBorder="1" applyAlignment="1">
      <alignment horizontal="center" vertical="top"/>
    </xf>
    <xf numFmtId="0" fontId="12" fillId="0" borderId="3" xfId="0" applyFont="1" applyBorder="1" applyAlignment="1">
      <alignment horizontal="center" vertical="top" wrapText="1"/>
    </xf>
    <xf numFmtId="0" fontId="12" fillId="0" borderId="3" xfId="0" applyFont="1" applyBorder="1" applyAlignment="1">
      <alignment vertical="top"/>
    </xf>
    <xf numFmtId="15" fontId="12" fillId="0" borderId="3" xfId="0" applyNumberFormat="1" applyFont="1" applyBorder="1" applyAlignment="1">
      <alignment horizontal="center" vertical="top"/>
    </xf>
    <xf numFmtId="0" fontId="12" fillId="0" borderId="3" xfId="0" applyFont="1" applyBorder="1"/>
    <xf numFmtId="0" fontId="12" fillId="0" borderId="0" xfId="0" applyFont="1"/>
    <xf numFmtId="15" fontId="12" fillId="0" borderId="3" xfId="0" applyNumberFormat="1" applyFont="1" applyBorder="1" applyAlignment="1">
      <alignment horizontal="center" vertical="top" wrapText="1"/>
    </xf>
    <xf numFmtId="0" fontId="13" fillId="0" borderId="3" xfId="0" applyFont="1" applyBorder="1" applyAlignment="1">
      <alignment horizontal="center" vertical="top"/>
    </xf>
    <xf numFmtId="0" fontId="8" fillId="0" borderId="0" xfId="0" applyFont="1" applyAlignment="1">
      <alignment horizontal="center" vertical="top"/>
    </xf>
    <xf numFmtId="0" fontId="8" fillId="0" borderId="0" xfId="0" applyFont="1" applyAlignment="1">
      <alignment horizontal="center" vertical="top" wrapText="1"/>
    </xf>
    <xf numFmtId="0" fontId="11" fillId="0" borderId="0" xfId="0" applyFont="1" applyAlignment="1">
      <alignment vertical="top"/>
    </xf>
    <xf numFmtId="15" fontId="8" fillId="0" borderId="0" xfId="0" applyNumberFormat="1" applyFont="1" applyAlignment="1">
      <alignment horizontal="center" vertical="top"/>
    </xf>
    <xf numFmtId="0" fontId="8" fillId="0" borderId="0" xfId="0" applyFont="1" applyAlignment="1">
      <alignment horizontal="center" wrapText="1"/>
    </xf>
    <xf numFmtId="0" fontId="15" fillId="0" borderId="0" xfId="0" applyFont="1" applyAlignment="1">
      <alignment horizontal="center" vertical="top"/>
    </xf>
    <xf numFmtId="43" fontId="4" fillId="0" borderId="3" xfId="1" applyFont="1" applyBorder="1" applyAlignment="1">
      <alignment horizontal="center" vertical="top" wrapText="1"/>
    </xf>
    <xf numFmtId="0" fontId="16" fillId="0" borderId="3" xfId="0" applyFont="1" applyBorder="1" applyAlignment="1">
      <alignment horizontal="center" vertical="top"/>
    </xf>
    <xf numFmtId="0" fontId="16" fillId="0" borderId="3" xfId="0" applyFont="1" applyBorder="1" applyAlignment="1">
      <alignment horizontal="center" vertical="top" wrapText="1"/>
    </xf>
    <xf numFmtId="43" fontId="16" fillId="0" borderId="3" xfId="1" applyFont="1" applyBorder="1" applyAlignment="1">
      <alignment horizontal="center" vertical="top" wrapText="1"/>
    </xf>
    <xf numFmtId="0" fontId="16" fillId="0" borderId="3" xfId="4" applyFont="1" applyBorder="1" applyAlignment="1">
      <alignment horizontal="center" vertical="top" wrapText="1"/>
    </xf>
    <xf numFmtId="0" fontId="16" fillId="0" borderId="0" xfId="0" applyFont="1" applyAlignment="1">
      <alignment vertical="top"/>
    </xf>
    <xf numFmtId="0" fontId="17" fillId="0" borderId="3" xfId="0" applyFont="1" applyBorder="1" applyAlignment="1">
      <alignment horizontal="center" vertical="top" wrapText="1"/>
    </xf>
    <xf numFmtId="0" fontId="18" fillId="0" borderId="0" xfId="0" applyFont="1" applyAlignment="1">
      <alignment horizontal="center" vertical="top" wrapText="1"/>
    </xf>
    <xf numFmtId="0" fontId="16" fillId="0" borderId="3" xfId="4" applyFont="1" applyBorder="1" applyAlignment="1">
      <alignment horizontal="center" vertical="top"/>
    </xf>
    <xf numFmtId="43" fontId="16" fillId="0" borderId="3" xfId="1" applyFont="1" applyFill="1" applyBorder="1" applyAlignment="1">
      <alignment horizontal="center" vertical="top" wrapText="1"/>
    </xf>
    <xf numFmtId="0" fontId="19" fillId="0" borderId="3" xfId="0" applyFont="1" applyBorder="1" applyAlignment="1">
      <alignment horizontal="center" vertical="top" wrapText="1"/>
    </xf>
    <xf numFmtId="0" fontId="16" fillId="0" borderId="0" xfId="0" applyFont="1"/>
    <xf numFmtId="0" fontId="16" fillId="0" borderId="0" xfId="0" applyFont="1" applyAlignment="1">
      <alignment wrapText="1"/>
    </xf>
    <xf numFmtId="0" fontId="16" fillId="0" borderId="0" xfId="0" applyFont="1" applyAlignment="1">
      <alignment horizontal="center" vertical="center" wrapText="1"/>
    </xf>
    <xf numFmtId="0" fontId="16" fillId="0" borderId="0" xfId="0" applyFont="1" applyAlignment="1">
      <alignment horizontal="center"/>
    </xf>
    <xf numFmtId="0" fontId="16" fillId="0" borderId="0" xfId="0" applyFont="1" applyAlignment="1">
      <alignment horizontal="left" vertical="center" wrapText="1"/>
    </xf>
    <xf numFmtId="43" fontId="16" fillId="0" borderId="0" xfId="1" applyFont="1" applyAlignment="1">
      <alignment horizontal="center" wrapText="1"/>
    </xf>
    <xf numFmtId="0" fontId="3" fillId="0" borderId="1" xfId="2" applyFont="1" applyFill="1" applyAlignment="1">
      <alignment horizontal="center" vertical="top" textRotation="90"/>
    </xf>
    <xf numFmtId="0" fontId="3" fillId="0" borderId="2" xfId="2" applyFont="1" applyFill="1" applyBorder="1" applyAlignment="1">
      <alignment horizontal="center" vertical="top" textRotation="90"/>
    </xf>
    <xf numFmtId="0" fontId="3" fillId="0" borderId="1" xfId="2" applyFont="1" applyFill="1" applyAlignment="1">
      <alignment horizontal="center" vertical="top"/>
    </xf>
    <xf numFmtId="0" fontId="3" fillId="0" borderId="2" xfId="2" applyFont="1" applyFill="1" applyBorder="1" applyAlignment="1">
      <alignment horizontal="center" vertical="top"/>
    </xf>
    <xf numFmtId="0" fontId="3" fillId="0" borderId="1" xfId="2" applyFont="1" applyFill="1" applyAlignment="1">
      <alignment horizontal="center" vertical="top" wrapText="1"/>
    </xf>
    <xf numFmtId="0" fontId="3" fillId="0" borderId="2" xfId="2" applyFont="1" applyFill="1" applyBorder="1" applyAlignment="1">
      <alignment horizontal="center" vertical="top" wrapText="1"/>
    </xf>
    <xf numFmtId="0" fontId="3" fillId="0" borderId="1" xfId="2" applyFont="1" applyFill="1" applyAlignment="1">
      <alignment horizontal="center"/>
    </xf>
    <xf numFmtId="0" fontId="3" fillId="0" borderId="1" xfId="2" applyFont="1" applyFill="1" applyAlignment="1">
      <alignment horizontal="center" vertical="top" shrinkToFit="1"/>
    </xf>
    <xf numFmtId="0" fontId="7" fillId="0" borderId="7" xfId="0" applyFont="1" applyBorder="1" applyAlignment="1">
      <alignment horizontal="center" vertical="top" textRotation="90"/>
    </xf>
    <xf numFmtId="0" fontId="7" fillId="0" borderId="12" xfId="0" applyFont="1" applyBorder="1" applyAlignment="1">
      <alignment horizontal="center" vertical="top" textRotation="90"/>
    </xf>
    <xf numFmtId="0" fontId="7" fillId="0" borderId="15" xfId="0" applyFont="1" applyBorder="1" applyAlignment="1">
      <alignment horizontal="center" vertical="top" textRotation="90"/>
    </xf>
    <xf numFmtId="0" fontId="7" fillId="0" borderId="7" xfId="0" applyFont="1" applyBorder="1" applyAlignment="1">
      <alignment horizontal="center" vertical="top" wrapText="1" shrinkToFit="1"/>
    </xf>
    <xf numFmtId="0" fontId="7" fillId="0" borderId="15" xfId="0" applyFont="1" applyBorder="1" applyAlignment="1">
      <alignment horizontal="center" vertical="top" wrapText="1" shrinkToFit="1"/>
    </xf>
    <xf numFmtId="0" fontId="7" fillId="0" borderId="3" xfId="0" applyFont="1" applyBorder="1" applyAlignment="1">
      <alignment horizontal="center" vertical="top" wrapText="1"/>
    </xf>
    <xf numFmtId="0" fontId="7" fillId="0" borderId="3" xfId="0" applyFont="1" applyBorder="1" applyAlignment="1">
      <alignment horizontal="center" vertical="top"/>
    </xf>
    <xf numFmtId="0" fontId="7" fillId="0" borderId="7" xfId="0" applyFont="1" applyBorder="1" applyAlignment="1">
      <alignment horizontal="center" vertical="top" wrapText="1"/>
    </xf>
    <xf numFmtId="0" fontId="7" fillId="0" borderId="15" xfId="0" applyFont="1" applyBorder="1" applyAlignment="1">
      <alignment horizontal="center" vertical="top" wrapText="1"/>
    </xf>
    <xf numFmtId="0" fontId="7" fillId="0" borderId="8" xfId="0" applyFont="1" applyBorder="1" applyAlignment="1">
      <alignment horizontal="center" vertical="top"/>
    </xf>
    <xf numFmtId="0" fontId="7" fillId="0" borderId="9" xfId="0" applyFont="1" applyBorder="1" applyAlignment="1">
      <alignment horizontal="center" vertical="top"/>
    </xf>
    <xf numFmtId="0" fontId="7" fillId="0" borderId="5" xfId="0" applyFont="1" applyBorder="1" applyAlignment="1">
      <alignment horizontal="center" vertical="top" wrapText="1" shrinkToFit="1"/>
    </xf>
    <xf numFmtId="0" fontId="7" fillId="0" borderId="6" xfId="0" applyFont="1" applyBorder="1" applyAlignment="1">
      <alignment horizontal="center" vertical="top" wrapText="1" shrinkToFit="1"/>
    </xf>
    <xf numFmtId="0" fontId="7" fillId="0" borderId="13" xfId="0" applyFont="1" applyBorder="1" applyAlignment="1">
      <alignment horizontal="center" vertical="top" wrapText="1" shrinkToFit="1"/>
    </xf>
    <xf numFmtId="0" fontId="7" fillId="0" borderId="14" xfId="0" applyFont="1" applyBorder="1" applyAlignment="1">
      <alignment horizontal="center" vertical="top" wrapText="1" shrinkToFit="1"/>
    </xf>
    <xf numFmtId="43" fontId="7" fillId="0" borderId="7" xfId="1" applyFont="1" applyBorder="1" applyAlignment="1">
      <alignment horizontal="center" vertical="top" wrapText="1" shrinkToFit="1"/>
    </xf>
    <xf numFmtId="43" fontId="7" fillId="0" borderId="12" xfId="1" applyFont="1" applyBorder="1" applyAlignment="1">
      <alignment horizontal="center" vertical="top" wrapText="1" shrinkToFit="1"/>
    </xf>
    <xf numFmtId="43" fontId="7" fillId="0" borderId="15" xfId="1" applyFont="1" applyBorder="1" applyAlignment="1">
      <alignment horizontal="center" vertical="top" wrapText="1" shrinkToFit="1"/>
    </xf>
    <xf numFmtId="0" fontId="7" fillId="0" borderId="0" xfId="0" applyFont="1" applyAlignment="1">
      <alignment horizontal="center"/>
    </xf>
    <xf numFmtId="0" fontId="7" fillId="0" borderId="4" xfId="0" applyFont="1" applyBorder="1" applyAlignment="1">
      <alignment horizontal="center" vertical="top" wrapText="1" shrinkToFit="1"/>
    </xf>
    <xf numFmtId="0" fontId="7" fillId="0" borderId="5" xfId="0" applyFont="1" applyBorder="1" applyAlignment="1">
      <alignment horizontal="center" vertical="top" wrapText="1"/>
    </xf>
    <xf numFmtId="0" fontId="7" fillId="0" borderId="10" xfId="0" applyFont="1" applyBorder="1" applyAlignment="1">
      <alignment horizontal="center" vertical="top" wrapText="1"/>
    </xf>
    <xf numFmtId="0" fontId="7" fillId="0" borderId="13" xfId="0" applyFont="1" applyBorder="1" applyAlignment="1">
      <alignment horizontal="center" vertical="top" wrapText="1"/>
    </xf>
    <xf numFmtId="0" fontId="7" fillId="0" borderId="3" xfId="0" applyFont="1" applyBorder="1" applyAlignment="1">
      <alignment horizontal="center" vertical="top" wrapText="1" shrinkToFit="1"/>
    </xf>
    <xf numFmtId="0" fontId="7" fillId="0" borderId="11" xfId="0" applyFont="1" applyBorder="1" applyAlignment="1">
      <alignment horizontal="center" vertical="top" wrapText="1" shrinkToFit="1"/>
    </xf>
    <xf numFmtId="0" fontId="7" fillId="0" borderId="12" xfId="0" applyFont="1" applyBorder="1" applyAlignment="1">
      <alignment horizontal="center" vertical="top" wrapText="1" shrinkToFit="1"/>
    </xf>
    <xf numFmtId="0" fontId="7" fillId="0" borderId="8" xfId="0" applyFont="1" applyBorder="1" applyAlignment="1">
      <alignment horizontal="center" vertical="top" wrapText="1" shrinkToFit="1"/>
    </xf>
    <xf numFmtId="0" fontId="7" fillId="0" borderId="9" xfId="0" applyFont="1" applyBorder="1" applyAlignment="1">
      <alignment horizontal="center" vertical="top" wrapText="1" shrinkToFit="1"/>
    </xf>
    <xf numFmtId="187" fontId="7" fillId="0" borderId="7" xfId="3" applyNumberFormat="1" applyFont="1" applyBorder="1" applyAlignment="1">
      <alignment horizontal="center" vertical="top" wrapText="1" shrinkToFit="1"/>
    </xf>
    <xf numFmtId="187" fontId="7" fillId="0" borderId="12" xfId="3" applyNumberFormat="1" applyFont="1" applyBorder="1" applyAlignment="1">
      <alignment horizontal="center" vertical="top" wrapText="1" shrinkToFit="1"/>
    </xf>
    <xf numFmtId="187" fontId="7" fillId="0" borderId="15" xfId="3" applyNumberFormat="1" applyFont="1" applyBorder="1" applyAlignment="1">
      <alignment horizontal="center" vertical="top" wrapText="1" shrinkToFit="1"/>
    </xf>
    <xf numFmtId="0" fontId="7" fillId="0" borderId="1" xfId="2" applyFont="1" applyFill="1" applyAlignment="1">
      <alignment horizontal="center" vertical="top" wrapText="1"/>
    </xf>
    <xf numFmtId="0" fontId="7" fillId="0" borderId="1" xfId="2" applyFont="1" applyFill="1" applyAlignment="1">
      <alignment horizontal="center" vertical="top"/>
    </xf>
    <xf numFmtId="0" fontId="20" fillId="0" borderId="0" xfId="0" applyFont="1" applyAlignment="1">
      <alignment horizontal="left" wrapText="1"/>
    </xf>
    <xf numFmtId="0" fontId="22" fillId="0" borderId="0" xfId="0" applyFont="1" applyAlignment="1">
      <alignment horizontal="left" wrapText="1"/>
    </xf>
    <xf numFmtId="0" fontId="7" fillId="0" borderId="3" xfId="4" applyFont="1" applyBorder="1" applyAlignment="1">
      <alignment horizontal="center" vertical="top" wrapText="1"/>
    </xf>
    <xf numFmtId="0" fontId="3" fillId="0" borderId="3" xfId="4" applyFont="1" applyBorder="1" applyAlignment="1">
      <alignment horizontal="center" vertical="center"/>
    </xf>
    <xf numFmtId="0" fontId="7" fillId="0" borderId="3" xfId="4" applyFont="1" applyBorder="1" applyAlignment="1">
      <alignment horizontal="center" vertical="top"/>
    </xf>
    <xf numFmtId="43" fontId="7" fillId="0" borderId="3" xfId="1" applyFont="1" applyFill="1" applyBorder="1" applyAlignment="1">
      <alignment horizontal="center" vertical="top" wrapText="1"/>
    </xf>
  </cellXfs>
  <cellStyles count="5">
    <cellStyle name="Comma 2" xfId="3" xr:uid="{D6D1F581-A66E-4F96-946D-90D61C3FC24C}"/>
    <cellStyle name="การคำนวณ" xfId="2" builtinId="22"/>
    <cellStyle name="จุลภาค" xfId="1" builtinId="3"/>
    <cellStyle name="ปกติ" xfId="0" builtinId="0"/>
    <cellStyle name="ปกติ 2" xfId="4" xr:uid="{5345D93F-45DE-40C7-9ECF-C852EB68F5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F2D3C-70B5-4FCF-995A-C729D285953C}">
  <dimension ref="A1:T7"/>
  <sheetViews>
    <sheetView zoomScaleNormal="100" workbookViewId="0">
      <selection sqref="A1:T1"/>
    </sheetView>
  </sheetViews>
  <sheetFormatPr defaultRowHeight="21.75" x14ac:dyDescent="0.5"/>
  <cols>
    <col min="1" max="1" width="5.25" style="15" customWidth="1"/>
    <col min="2" max="2" width="8.125" style="15" customWidth="1"/>
    <col min="3" max="3" width="25.5" style="15" customWidth="1"/>
    <col min="4" max="4" width="17.375" style="15" customWidth="1"/>
    <col min="5" max="5" width="21.125" style="15" customWidth="1"/>
    <col min="6" max="6" width="15" style="15" customWidth="1"/>
    <col min="7" max="7" width="7.375" style="15" customWidth="1"/>
    <col min="8" max="9" width="7.625" style="15" customWidth="1"/>
    <col min="10" max="10" width="7.5" style="15" customWidth="1"/>
    <col min="11" max="11" width="9.75" style="15" customWidth="1"/>
    <col min="12" max="12" width="12" style="15" customWidth="1"/>
    <col min="13" max="13" width="17.375" style="15" customWidth="1"/>
    <col min="14" max="14" width="10.5" style="15" customWidth="1"/>
    <col min="15" max="15" width="10.75" style="15" customWidth="1"/>
    <col min="16" max="16" width="9.875" style="15" customWidth="1"/>
    <col min="17" max="17" width="9.125" style="15" customWidth="1"/>
    <col min="18" max="19" width="9" style="15" customWidth="1"/>
    <col min="20" max="20" width="5.125" style="15" customWidth="1"/>
    <col min="21" max="16384" width="9" style="15"/>
  </cols>
  <sheetData>
    <row r="1" spans="1:20" s="1" customFormat="1" ht="24" x14ac:dyDescent="0.55000000000000004">
      <c r="A1" s="77" t="s">
        <v>0</v>
      </c>
      <c r="B1" s="77"/>
      <c r="C1" s="77"/>
      <c r="D1" s="77"/>
      <c r="E1" s="77"/>
      <c r="F1" s="77"/>
      <c r="G1" s="77"/>
      <c r="H1" s="77"/>
      <c r="I1" s="77"/>
      <c r="J1" s="77"/>
      <c r="K1" s="77"/>
      <c r="L1" s="77"/>
      <c r="M1" s="77"/>
      <c r="N1" s="77"/>
      <c r="O1" s="77"/>
      <c r="P1" s="77"/>
      <c r="Q1" s="77"/>
      <c r="R1" s="77"/>
      <c r="S1" s="77"/>
      <c r="T1" s="77"/>
    </row>
    <row r="2" spans="1:20" s="1" customFormat="1" ht="24" x14ac:dyDescent="0.5">
      <c r="A2" s="78" t="s">
        <v>1</v>
      </c>
      <c r="B2" s="78"/>
      <c r="C2" s="78"/>
      <c r="D2" s="78"/>
      <c r="E2" s="78"/>
      <c r="F2" s="78"/>
      <c r="G2" s="78"/>
      <c r="H2" s="78"/>
      <c r="I2" s="78"/>
      <c r="J2" s="78"/>
      <c r="K2" s="78"/>
      <c r="L2" s="78"/>
      <c r="M2" s="78"/>
      <c r="N2" s="78"/>
      <c r="O2" s="78"/>
      <c r="P2" s="78"/>
      <c r="Q2" s="78"/>
      <c r="R2" s="78"/>
      <c r="S2" s="78"/>
      <c r="T2" s="78"/>
    </row>
    <row r="3" spans="1:20" s="3" customFormat="1" ht="18.75" customHeight="1" x14ac:dyDescent="0.2">
      <c r="A3" s="75" t="s">
        <v>2</v>
      </c>
      <c r="B3" s="75" t="s">
        <v>3</v>
      </c>
      <c r="C3" s="73" t="s">
        <v>4</v>
      </c>
      <c r="D3" s="73" t="s">
        <v>5</v>
      </c>
      <c r="E3" s="73" t="s">
        <v>6</v>
      </c>
      <c r="F3" s="75" t="s">
        <v>7</v>
      </c>
      <c r="G3" s="73" t="s">
        <v>8</v>
      </c>
      <c r="H3" s="73"/>
      <c r="I3" s="73" t="s">
        <v>9</v>
      </c>
      <c r="J3" s="73"/>
      <c r="K3" s="73" t="s">
        <v>10</v>
      </c>
      <c r="L3" s="73"/>
      <c r="M3" s="73" t="s">
        <v>11</v>
      </c>
      <c r="N3" s="75" t="s">
        <v>12</v>
      </c>
      <c r="O3" s="75" t="s">
        <v>13</v>
      </c>
      <c r="P3" s="73" t="s">
        <v>14</v>
      </c>
      <c r="Q3" s="73"/>
      <c r="R3" s="73"/>
      <c r="S3" s="75" t="s">
        <v>15</v>
      </c>
      <c r="T3" s="71" t="s">
        <v>16</v>
      </c>
    </row>
    <row r="4" spans="1:20" s="3" customFormat="1" ht="118.5" customHeight="1" x14ac:dyDescent="0.2">
      <c r="A4" s="76"/>
      <c r="B4" s="76"/>
      <c r="C4" s="74"/>
      <c r="D4" s="74"/>
      <c r="E4" s="74"/>
      <c r="F4" s="74"/>
      <c r="G4" s="4" t="s">
        <v>17</v>
      </c>
      <c r="H4" s="4" t="s">
        <v>18</v>
      </c>
      <c r="I4" s="4" t="s">
        <v>19</v>
      </c>
      <c r="J4" s="4" t="s">
        <v>20</v>
      </c>
      <c r="K4" s="5" t="s">
        <v>21</v>
      </c>
      <c r="L4" s="5" t="s">
        <v>22</v>
      </c>
      <c r="M4" s="74"/>
      <c r="N4" s="76"/>
      <c r="O4" s="76"/>
      <c r="P4" s="4" t="s">
        <v>23</v>
      </c>
      <c r="Q4" s="4" t="s">
        <v>24</v>
      </c>
      <c r="R4" s="4" t="s">
        <v>25</v>
      </c>
      <c r="S4" s="74"/>
      <c r="T4" s="72"/>
    </row>
    <row r="5" spans="1:20" s="12" customFormat="1" ht="396.75" x14ac:dyDescent="0.2">
      <c r="A5" s="6">
        <v>1</v>
      </c>
      <c r="B5" s="7"/>
      <c r="C5" s="8" t="s">
        <v>26</v>
      </c>
      <c r="D5" s="6" t="s">
        <v>27</v>
      </c>
      <c r="E5" s="9" t="s">
        <v>28</v>
      </c>
      <c r="F5" s="8" t="s">
        <v>29</v>
      </c>
      <c r="G5" s="6" t="s">
        <v>30</v>
      </c>
      <c r="H5" s="6" t="s">
        <v>30</v>
      </c>
      <c r="I5" s="6" t="s">
        <v>30</v>
      </c>
      <c r="J5" s="6" t="s">
        <v>30</v>
      </c>
      <c r="K5" s="6" t="s">
        <v>30</v>
      </c>
      <c r="L5" s="10">
        <v>9478000</v>
      </c>
      <c r="M5" s="8" t="s">
        <v>31</v>
      </c>
      <c r="N5" s="11" t="s">
        <v>30</v>
      </c>
      <c r="O5" s="11">
        <v>244808</v>
      </c>
      <c r="P5" s="6" t="s">
        <v>30</v>
      </c>
      <c r="Q5" s="6" t="s">
        <v>30</v>
      </c>
      <c r="R5" s="6" t="s">
        <v>30</v>
      </c>
      <c r="S5" s="7"/>
      <c r="T5" s="7"/>
    </row>
    <row r="6" spans="1:20" ht="202.5" customHeight="1" x14ac:dyDescent="0.5">
      <c r="A6" s="6">
        <v>2</v>
      </c>
      <c r="B6" s="13"/>
      <c r="C6" s="8" t="s">
        <v>32</v>
      </c>
      <c r="D6" s="6" t="s">
        <v>33</v>
      </c>
      <c r="E6" s="14" t="s">
        <v>34</v>
      </c>
      <c r="F6" s="8" t="s">
        <v>35</v>
      </c>
      <c r="G6" s="6" t="s">
        <v>30</v>
      </c>
      <c r="H6" s="6" t="s">
        <v>30</v>
      </c>
      <c r="I6" s="6" t="s">
        <v>30</v>
      </c>
      <c r="J6" s="6" t="s">
        <v>30</v>
      </c>
      <c r="K6" s="10" t="s">
        <v>30</v>
      </c>
      <c r="L6" s="10">
        <v>6857000</v>
      </c>
      <c r="M6" s="8" t="s">
        <v>36</v>
      </c>
      <c r="N6" s="11">
        <v>244443</v>
      </c>
      <c r="O6" s="11">
        <v>244808</v>
      </c>
      <c r="P6" s="6" t="s">
        <v>30</v>
      </c>
      <c r="Q6" s="6" t="s">
        <v>30</v>
      </c>
      <c r="R6" s="6" t="s">
        <v>30</v>
      </c>
      <c r="S6" s="6"/>
      <c r="T6" s="13"/>
    </row>
    <row r="7" spans="1:20" ht="152.25" x14ac:dyDescent="0.5">
      <c r="A7" s="6">
        <v>3</v>
      </c>
      <c r="B7" s="6"/>
      <c r="C7" s="8" t="s">
        <v>37</v>
      </c>
      <c r="D7" s="6" t="s">
        <v>38</v>
      </c>
      <c r="E7" s="8" t="s">
        <v>39</v>
      </c>
      <c r="F7" s="8" t="s">
        <v>40</v>
      </c>
      <c r="G7" s="6" t="s">
        <v>30</v>
      </c>
      <c r="H7" s="6" t="s">
        <v>30</v>
      </c>
      <c r="I7" s="6" t="s">
        <v>30</v>
      </c>
      <c r="J7" s="6" t="s">
        <v>30</v>
      </c>
      <c r="K7" s="10">
        <v>20000</v>
      </c>
      <c r="L7" s="10" t="s">
        <v>30</v>
      </c>
      <c r="M7" s="8" t="s">
        <v>41</v>
      </c>
      <c r="N7" s="11">
        <v>244443</v>
      </c>
      <c r="O7" s="11">
        <v>244808</v>
      </c>
      <c r="P7" s="6" t="s">
        <v>30</v>
      </c>
      <c r="Q7" s="6" t="s">
        <v>30</v>
      </c>
      <c r="R7" s="6" t="s">
        <v>30</v>
      </c>
      <c r="S7" s="6"/>
      <c r="T7" s="6"/>
    </row>
  </sheetData>
  <mergeCells count="17">
    <mergeCell ref="A1:T1"/>
    <mergeCell ref="A2:T2"/>
    <mergeCell ref="A3:A4"/>
    <mergeCell ref="B3:B4"/>
    <mergeCell ref="C3:C4"/>
    <mergeCell ref="D3:D4"/>
    <mergeCell ref="E3:E4"/>
    <mergeCell ref="F3:F4"/>
    <mergeCell ref="G3:H3"/>
    <mergeCell ref="I3:J3"/>
    <mergeCell ref="T3:T4"/>
    <mergeCell ref="K3:L3"/>
    <mergeCell ref="M3:M4"/>
    <mergeCell ref="N3:N4"/>
    <mergeCell ref="O3:O4"/>
    <mergeCell ref="P3:R3"/>
    <mergeCell ref="S3:S4"/>
  </mergeCells>
  <pageMargins left="0.23622047244094491" right="0" top="0.31496062992125984" bottom="0" header="0.51181102362204722" footer="0"/>
  <pageSetup paperSize="9" scale="60"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6B3AD-1898-4BA4-B419-757D05F551E2}">
  <dimension ref="A1:X7"/>
  <sheetViews>
    <sheetView zoomScale="90" zoomScaleNormal="90" workbookViewId="0">
      <selection activeCell="G7" sqref="G7"/>
    </sheetView>
  </sheetViews>
  <sheetFormatPr defaultColWidth="9" defaultRowHeight="24" x14ac:dyDescent="0.55000000000000004"/>
  <cols>
    <col min="1" max="1" width="4.875" style="16" customWidth="1"/>
    <col min="2" max="2" width="23.375" style="16" customWidth="1"/>
    <col min="3" max="3" width="20.125" style="30" customWidth="1"/>
    <col min="4" max="4" width="6.375" style="30" customWidth="1"/>
    <col min="5" max="5" width="7.375" style="30" customWidth="1"/>
    <col min="6" max="6" width="15.25" style="31" customWidth="1"/>
    <col min="7" max="7" width="10.75" style="32" customWidth="1"/>
    <col min="8" max="8" width="13.625" style="32" customWidth="1"/>
    <col min="9" max="9" width="14.5" style="16" customWidth="1"/>
    <col min="10" max="10" width="5.875" style="16" customWidth="1"/>
    <col min="11" max="12" width="5.125" style="16" customWidth="1"/>
    <col min="13" max="13" width="4.375" style="16" customWidth="1"/>
    <col min="14" max="14" width="9.875" style="16" customWidth="1"/>
    <col min="15" max="15" width="9.625" style="16" customWidth="1"/>
    <col min="16" max="17" width="8.625" style="16" customWidth="1"/>
    <col min="18" max="18" width="9.75" style="16" customWidth="1"/>
    <col min="19" max="19" width="8.875" style="16" customWidth="1"/>
    <col min="20" max="20" width="8" style="16" customWidth="1"/>
    <col min="21" max="21" width="8.625" style="30" customWidth="1"/>
    <col min="22" max="22" width="10.625" style="16" customWidth="1"/>
    <col min="23" max="23" width="10.75" style="33" customWidth="1"/>
    <col min="24" max="24" width="7.75" style="16" customWidth="1"/>
    <col min="25" max="25" width="10.375" style="16" bestFit="1" customWidth="1"/>
    <col min="26" max="16384" width="9" style="16"/>
  </cols>
  <sheetData>
    <row r="1" spans="1:24" x14ac:dyDescent="0.55000000000000004">
      <c r="A1" s="97" t="s">
        <v>42</v>
      </c>
      <c r="B1" s="97"/>
      <c r="C1" s="97"/>
      <c r="D1" s="97"/>
      <c r="E1" s="97"/>
      <c r="F1" s="97"/>
      <c r="G1" s="97"/>
      <c r="H1" s="97"/>
      <c r="I1" s="97"/>
      <c r="J1" s="97"/>
      <c r="K1" s="97"/>
      <c r="L1" s="97"/>
      <c r="M1" s="97"/>
      <c r="N1" s="97"/>
      <c r="O1" s="97"/>
      <c r="P1" s="97"/>
      <c r="Q1" s="97"/>
      <c r="R1" s="97"/>
      <c r="S1" s="97"/>
      <c r="T1" s="97"/>
      <c r="U1" s="97"/>
      <c r="V1" s="97"/>
      <c r="W1" s="97"/>
      <c r="X1" s="97"/>
    </row>
    <row r="2" spans="1:24" ht="24.75" customHeight="1" x14ac:dyDescent="0.55000000000000004">
      <c r="A2" s="98" t="s">
        <v>1</v>
      </c>
      <c r="B2" s="98"/>
      <c r="C2" s="98"/>
      <c r="D2" s="98"/>
      <c r="E2" s="98"/>
      <c r="F2" s="98"/>
      <c r="G2" s="98"/>
      <c r="H2" s="98"/>
      <c r="I2" s="98"/>
      <c r="J2" s="98"/>
      <c r="K2" s="98"/>
      <c r="L2" s="98"/>
      <c r="M2" s="98"/>
      <c r="N2" s="98"/>
      <c r="O2" s="98"/>
      <c r="P2" s="98"/>
      <c r="Q2" s="98"/>
      <c r="R2" s="98"/>
      <c r="S2" s="98"/>
      <c r="T2" s="98"/>
      <c r="U2" s="98"/>
      <c r="V2" s="98"/>
      <c r="W2" s="98"/>
      <c r="X2" s="98"/>
    </row>
    <row r="3" spans="1:24" s="19" customFormat="1" ht="24.75" customHeight="1" x14ac:dyDescent="0.2">
      <c r="A3" s="99" t="s">
        <v>2</v>
      </c>
      <c r="B3" s="102" t="s">
        <v>4</v>
      </c>
      <c r="C3" s="91" t="s">
        <v>5</v>
      </c>
      <c r="D3" s="90" t="s">
        <v>43</v>
      </c>
      <c r="E3" s="91"/>
      <c r="F3" s="82" t="s">
        <v>44</v>
      </c>
      <c r="G3" s="105" t="s">
        <v>45</v>
      </c>
      <c r="H3" s="106"/>
      <c r="I3" s="107" t="s">
        <v>10</v>
      </c>
      <c r="J3" s="85" t="s">
        <v>46</v>
      </c>
      <c r="K3" s="85"/>
      <c r="L3" s="85"/>
      <c r="M3" s="85"/>
      <c r="N3" s="88" t="s">
        <v>47</v>
      </c>
      <c r="O3" s="89"/>
      <c r="P3" s="88" t="s">
        <v>9</v>
      </c>
      <c r="Q3" s="89"/>
      <c r="R3" s="90" t="s">
        <v>48</v>
      </c>
      <c r="S3" s="91"/>
      <c r="T3" s="90" t="s">
        <v>49</v>
      </c>
      <c r="U3" s="91"/>
      <c r="V3" s="84" t="s">
        <v>50</v>
      </c>
      <c r="W3" s="94" t="s">
        <v>16</v>
      </c>
      <c r="X3" s="79" t="s">
        <v>51</v>
      </c>
    </row>
    <row r="4" spans="1:24" s="19" customFormat="1" ht="36" customHeight="1" x14ac:dyDescent="0.2">
      <c r="A4" s="100"/>
      <c r="B4" s="102"/>
      <c r="C4" s="103"/>
      <c r="D4" s="82" t="s">
        <v>21</v>
      </c>
      <c r="E4" s="82" t="s">
        <v>22</v>
      </c>
      <c r="F4" s="104"/>
      <c r="G4" s="82" t="s">
        <v>52</v>
      </c>
      <c r="H4" s="82" t="s">
        <v>53</v>
      </c>
      <c r="I4" s="108"/>
      <c r="J4" s="84" t="s">
        <v>54</v>
      </c>
      <c r="K4" s="84" t="s">
        <v>55</v>
      </c>
      <c r="L4" s="84" t="s">
        <v>56</v>
      </c>
      <c r="M4" s="84" t="s">
        <v>57</v>
      </c>
      <c r="N4" s="86" t="s">
        <v>58</v>
      </c>
      <c r="O4" s="86" t="s">
        <v>59</v>
      </c>
      <c r="P4" s="86" t="s">
        <v>60</v>
      </c>
      <c r="Q4" s="86" t="s">
        <v>61</v>
      </c>
      <c r="R4" s="92"/>
      <c r="S4" s="93"/>
      <c r="T4" s="92"/>
      <c r="U4" s="93"/>
      <c r="V4" s="84"/>
      <c r="W4" s="95"/>
      <c r="X4" s="80"/>
    </row>
    <row r="5" spans="1:24" s="19" customFormat="1" ht="66.75" customHeight="1" x14ac:dyDescent="0.2">
      <c r="A5" s="101"/>
      <c r="B5" s="102"/>
      <c r="C5" s="93"/>
      <c r="D5" s="83"/>
      <c r="E5" s="83"/>
      <c r="F5" s="83"/>
      <c r="G5" s="83"/>
      <c r="H5" s="83"/>
      <c r="I5" s="109"/>
      <c r="J5" s="85"/>
      <c r="K5" s="85"/>
      <c r="L5" s="85"/>
      <c r="M5" s="85"/>
      <c r="N5" s="87"/>
      <c r="O5" s="87"/>
      <c r="P5" s="87"/>
      <c r="Q5" s="87"/>
      <c r="R5" s="17" t="s">
        <v>62</v>
      </c>
      <c r="S5" s="17" t="s">
        <v>63</v>
      </c>
      <c r="T5" s="17" t="s">
        <v>62</v>
      </c>
      <c r="U5" s="17" t="s">
        <v>63</v>
      </c>
      <c r="V5" s="84"/>
      <c r="W5" s="96"/>
      <c r="X5" s="81"/>
    </row>
    <row r="6" spans="1:24" s="1" customFormat="1" ht="147" x14ac:dyDescent="0.5">
      <c r="A6" s="20">
        <v>1</v>
      </c>
      <c r="B6" s="21" t="s">
        <v>64</v>
      </c>
      <c r="C6" s="21" t="s">
        <v>65</v>
      </c>
      <c r="D6" s="20">
        <v>6</v>
      </c>
      <c r="E6" s="20">
        <v>1</v>
      </c>
      <c r="F6" s="14" t="s">
        <v>29</v>
      </c>
      <c r="G6" s="20" t="s">
        <v>30</v>
      </c>
      <c r="H6" s="21" t="s">
        <v>66</v>
      </c>
      <c r="I6" s="22">
        <v>7543647</v>
      </c>
      <c r="J6" s="23">
        <f>I6*15%</f>
        <v>1131547.05</v>
      </c>
      <c r="K6" s="23">
        <f>J6/3</f>
        <v>377182.35000000003</v>
      </c>
      <c r="L6" s="23">
        <f>J6/3</f>
        <v>377182.35000000003</v>
      </c>
      <c r="M6" s="23">
        <f>J6/3</f>
        <v>377182.35000000003</v>
      </c>
      <c r="N6" s="14" t="s">
        <v>67</v>
      </c>
      <c r="O6" s="20" t="s">
        <v>30</v>
      </c>
      <c r="P6" s="20" t="s">
        <v>30</v>
      </c>
      <c r="Q6" s="20" t="s">
        <v>30</v>
      </c>
      <c r="R6" s="24">
        <v>25267</v>
      </c>
      <c r="S6" s="24">
        <v>25932</v>
      </c>
      <c r="T6" s="25">
        <v>25293</v>
      </c>
      <c r="U6" s="24">
        <v>25619</v>
      </c>
      <c r="V6" s="26" t="s">
        <v>68</v>
      </c>
      <c r="W6" s="27"/>
      <c r="X6" s="28"/>
    </row>
    <row r="7" spans="1:24" ht="126" x14ac:dyDescent="0.55000000000000004">
      <c r="A7" s="20">
        <v>2</v>
      </c>
      <c r="B7" s="21" t="s">
        <v>69</v>
      </c>
      <c r="C7" s="21" t="s">
        <v>70</v>
      </c>
      <c r="D7" s="20">
        <v>1</v>
      </c>
      <c r="E7" s="20">
        <v>2</v>
      </c>
      <c r="F7" s="14" t="s">
        <v>29</v>
      </c>
      <c r="G7" s="20" t="s">
        <v>30</v>
      </c>
      <c r="H7" s="21" t="s">
        <v>71</v>
      </c>
      <c r="I7" s="22">
        <v>500000</v>
      </c>
      <c r="J7" s="23">
        <f>I7*15%</f>
        <v>75000</v>
      </c>
      <c r="K7" s="23">
        <f>J7/3</f>
        <v>25000</v>
      </c>
      <c r="L7" s="23">
        <f>J7/3</f>
        <v>25000</v>
      </c>
      <c r="M7" s="23">
        <f>J7/3</f>
        <v>25000</v>
      </c>
      <c r="N7" s="29" t="s">
        <v>72</v>
      </c>
      <c r="O7" s="20" t="s">
        <v>30</v>
      </c>
      <c r="P7" s="20" t="s">
        <v>30</v>
      </c>
      <c r="Q7" s="20" t="s">
        <v>30</v>
      </c>
      <c r="R7" s="24">
        <v>25322</v>
      </c>
      <c r="S7" s="24">
        <v>25597</v>
      </c>
      <c r="T7" s="24">
        <v>25369</v>
      </c>
      <c r="U7" s="24">
        <v>25567</v>
      </c>
      <c r="V7" s="26" t="s">
        <v>73</v>
      </c>
      <c r="W7" s="27"/>
      <c r="X7" s="28"/>
    </row>
  </sheetData>
  <mergeCells count="29">
    <mergeCell ref="O4:O5"/>
    <mergeCell ref="P4:P5"/>
    <mergeCell ref="Q4:Q5"/>
    <mergeCell ref="A1:X1"/>
    <mergeCell ref="A2:X2"/>
    <mergeCell ref="A3:A5"/>
    <mergeCell ref="B3:B5"/>
    <mergeCell ref="C3:C5"/>
    <mergeCell ref="D3:E3"/>
    <mergeCell ref="F3:F5"/>
    <mergeCell ref="G3:H3"/>
    <mergeCell ref="I3:I5"/>
    <mergeCell ref="J3:M3"/>
    <mergeCell ref="X3:X5"/>
    <mergeCell ref="D4:D5"/>
    <mergeCell ref="E4:E5"/>
    <mergeCell ref="G4:G5"/>
    <mergeCell ref="H4:H5"/>
    <mergeCell ref="J4:J5"/>
    <mergeCell ref="K4:K5"/>
    <mergeCell ref="L4:L5"/>
    <mergeCell ref="M4:M5"/>
    <mergeCell ref="N4:N5"/>
    <mergeCell ref="N3:O3"/>
    <mergeCell ref="P3:Q3"/>
    <mergeCell ref="R3:S4"/>
    <mergeCell ref="T3:U4"/>
    <mergeCell ref="V3:V5"/>
    <mergeCell ref="W3:W5"/>
  </mergeCells>
  <pageMargins left="0.23622047244094491" right="0" top="0.19685039370078741" bottom="0" header="0.19685039370078741" footer="0"/>
  <pageSetup paperSize="9" scale="56"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23563-20DB-47D9-877D-51B82513100A}">
  <dimension ref="A1:O36"/>
  <sheetViews>
    <sheetView zoomScaleNormal="100" workbookViewId="0">
      <selection sqref="A1:O1"/>
    </sheetView>
  </sheetViews>
  <sheetFormatPr defaultColWidth="9" defaultRowHeight="24" x14ac:dyDescent="0.55000000000000004"/>
  <cols>
    <col min="1" max="1" width="5.375" style="48" customWidth="1"/>
    <col min="2" max="2" width="22.75" style="52" customWidth="1"/>
    <col min="3" max="3" width="21.875" style="16" customWidth="1"/>
    <col min="4" max="8" width="4.375" style="19" customWidth="1"/>
    <col min="9" max="9" width="4" style="19" customWidth="1"/>
    <col min="10" max="10" width="19.875" style="16" customWidth="1"/>
    <col min="11" max="11" width="16" style="16" customWidth="1"/>
    <col min="12" max="12" width="10.375" style="16" customWidth="1"/>
    <col min="13" max="13" width="3.75" style="16" customWidth="1"/>
    <col min="14" max="14" width="3.875" style="16" customWidth="1"/>
    <col min="15" max="15" width="4.25" style="16" customWidth="1"/>
    <col min="16" max="16384" width="9" style="16"/>
  </cols>
  <sheetData>
    <row r="1" spans="1:15" x14ac:dyDescent="0.55000000000000004">
      <c r="A1" s="77" t="s">
        <v>74</v>
      </c>
      <c r="B1" s="77"/>
      <c r="C1" s="77"/>
      <c r="D1" s="77"/>
      <c r="E1" s="77"/>
      <c r="F1" s="77"/>
      <c r="G1" s="77"/>
      <c r="H1" s="77"/>
      <c r="I1" s="77"/>
      <c r="J1" s="77"/>
      <c r="K1" s="77"/>
      <c r="L1" s="77"/>
      <c r="M1" s="77"/>
      <c r="N1" s="77"/>
      <c r="O1" s="77"/>
    </row>
    <row r="2" spans="1:15" x14ac:dyDescent="0.55000000000000004">
      <c r="A2" s="77" t="s">
        <v>75</v>
      </c>
      <c r="B2" s="77"/>
      <c r="C2" s="77"/>
      <c r="D2" s="77"/>
      <c r="E2" s="77"/>
      <c r="F2" s="77"/>
      <c r="G2" s="77"/>
      <c r="H2" s="77"/>
      <c r="I2" s="77"/>
      <c r="J2" s="77"/>
      <c r="K2" s="77"/>
      <c r="L2" s="77"/>
      <c r="M2" s="77"/>
      <c r="N2" s="77"/>
      <c r="O2" s="77"/>
    </row>
    <row r="3" spans="1:15" ht="24" customHeight="1" x14ac:dyDescent="0.55000000000000004">
      <c r="A3" s="110" t="s">
        <v>2</v>
      </c>
      <c r="B3" s="75" t="s">
        <v>76</v>
      </c>
      <c r="C3" s="73" t="s">
        <v>77</v>
      </c>
      <c r="D3" s="73" t="s">
        <v>78</v>
      </c>
      <c r="E3" s="73"/>
      <c r="F3" s="73"/>
      <c r="G3" s="73"/>
      <c r="H3" s="73"/>
      <c r="I3" s="73"/>
      <c r="J3" s="73" t="s">
        <v>79</v>
      </c>
      <c r="K3" s="73" t="s">
        <v>80</v>
      </c>
      <c r="L3" s="73" t="s">
        <v>81</v>
      </c>
      <c r="M3" s="71" t="s">
        <v>82</v>
      </c>
      <c r="N3" s="71" t="s">
        <v>83</v>
      </c>
      <c r="O3" s="71" t="s">
        <v>16</v>
      </c>
    </row>
    <row r="4" spans="1:15" ht="125.25" customHeight="1" x14ac:dyDescent="0.55000000000000004">
      <c r="A4" s="111"/>
      <c r="B4" s="75"/>
      <c r="C4" s="73"/>
      <c r="D4" s="2" t="s">
        <v>84</v>
      </c>
      <c r="E4" s="2" t="s">
        <v>85</v>
      </c>
      <c r="F4" s="2" t="s">
        <v>86</v>
      </c>
      <c r="G4" s="2" t="s">
        <v>87</v>
      </c>
      <c r="H4" s="2" t="s">
        <v>88</v>
      </c>
      <c r="I4" s="2" t="s">
        <v>89</v>
      </c>
      <c r="J4" s="73"/>
      <c r="K4" s="73"/>
      <c r="L4" s="73"/>
      <c r="M4" s="71"/>
      <c r="N4" s="71"/>
      <c r="O4" s="71"/>
    </row>
    <row r="5" spans="1:15" ht="98.25" customHeight="1" x14ac:dyDescent="0.55000000000000004">
      <c r="A5" s="34">
        <v>1</v>
      </c>
      <c r="B5" s="35" t="s">
        <v>90</v>
      </c>
      <c r="C5" s="35" t="s">
        <v>91</v>
      </c>
      <c r="D5" s="36"/>
      <c r="E5" s="37"/>
      <c r="F5" s="37"/>
      <c r="G5" s="36" t="s">
        <v>92</v>
      </c>
      <c r="H5" s="37"/>
      <c r="I5" s="37"/>
      <c r="J5" s="34" t="s">
        <v>93</v>
      </c>
      <c r="K5" s="35" t="s">
        <v>94</v>
      </c>
      <c r="L5" s="38">
        <v>244469</v>
      </c>
      <c r="M5" s="39"/>
      <c r="N5" s="39"/>
      <c r="O5" s="39"/>
    </row>
    <row r="6" spans="1:15" s="45" customFormat="1" ht="168" x14ac:dyDescent="0.55000000000000004">
      <c r="A6" s="40">
        <v>2</v>
      </c>
      <c r="B6" s="41" t="s">
        <v>95</v>
      </c>
      <c r="C6" s="41" t="s">
        <v>96</v>
      </c>
      <c r="D6" s="42"/>
      <c r="E6" s="42"/>
      <c r="F6" s="42"/>
      <c r="G6" s="36" t="s">
        <v>92</v>
      </c>
      <c r="H6" s="42"/>
      <c r="I6" s="42"/>
      <c r="J6" s="40" t="s">
        <v>33</v>
      </c>
      <c r="K6" s="41" t="s">
        <v>35</v>
      </c>
      <c r="L6" s="43">
        <v>25303</v>
      </c>
      <c r="M6" s="44"/>
      <c r="N6" s="44"/>
      <c r="O6" s="44"/>
    </row>
    <row r="7" spans="1:15" s="45" customFormat="1" ht="48" x14ac:dyDescent="0.55000000000000004">
      <c r="A7" s="40">
        <v>3</v>
      </c>
      <c r="B7" s="41" t="s">
        <v>97</v>
      </c>
      <c r="C7" s="41" t="s">
        <v>98</v>
      </c>
      <c r="D7" s="42"/>
      <c r="E7" s="42"/>
      <c r="F7" s="42"/>
      <c r="G7" s="36" t="s">
        <v>92</v>
      </c>
      <c r="H7" s="42"/>
      <c r="I7" s="42"/>
      <c r="J7" s="40" t="s">
        <v>65</v>
      </c>
      <c r="K7" s="41" t="s">
        <v>29</v>
      </c>
      <c r="L7" s="43">
        <v>25309</v>
      </c>
      <c r="M7" s="44"/>
      <c r="N7" s="44"/>
      <c r="O7" s="44"/>
    </row>
    <row r="8" spans="1:15" s="45" customFormat="1" ht="72" x14ac:dyDescent="0.55000000000000004">
      <c r="A8" s="40">
        <v>4</v>
      </c>
      <c r="B8" s="41" t="s">
        <v>97</v>
      </c>
      <c r="C8" s="41" t="s">
        <v>99</v>
      </c>
      <c r="D8" s="42"/>
      <c r="E8" s="42"/>
      <c r="F8" s="42"/>
      <c r="G8" s="36" t="s">
        <v>92</v>
      </c>
      <c r="H8" s="42"/>
      <c r="I8" s="42"/>
      <c r="J8" s="40" t="s">
        <v>65</v>
      </c>
      <c r="K8" s="41" t="s">
        <v>29</v>
      </c>
      <c r="L8" s="43">
        <v>25309</v>
      </c>
      <c r="M8" s="44"/>
      <c r="N8" s="44"/>
      <c r="O8" s="44"/>
    </row>
    <row r="9" spans="1:15" s="45" customFormat="1" ht="72" x14ac:dyDescent="0.55000000000000004">
      <c r="A9" s="40">
        <v>5</v>
      </c>
      <c r="B9" s="41" t="s">
        <v>100</v>
      </c>
      <c r="C9" s="41" t="s">
        <v>101</v>
      </c>
      <c r="D9" s="42"/>
      <c r="E9" s="42"/>
      <c r="F9" s="42"/>
      <c r="G9" s="36" t="s">
        <v>92</v>
      </c>
      <c r="H9" s="42"/>
      <c r="I9" s="42"/>
      <c r="J9" s="40" t="s">
        <v>102</v>
      </c>
      <c r="K9" s="41" t="s">
        <v>29</v>
      </c>
      <c r="L9" s="43">
        <v>25309</v>
      </c>
      <c r="M9" s="44"/>
      <c r="N9" s="44"/>
      <c r="O9" s="44"/>
    </row>
    <row r="10" spans="1:15" s="45" customFormat="1" ht="120" x14ac:dyDescent="0.55000000000000004">
      <c r="A10" s="40">
        <v>6</v>
      </c>
      <c r="B10" s="41" t="s">
        <v>103</v>
      </c>
      <c r="C10" s="41" t="s">
        <v>104</v>
      </c>
      <c r="D10" s="42"/>
      <c r="E10" s="42"/>
      <c r="F10" s="42"/>
      <c r="G10" s="36" t="s">
        <v>92</v>
      </c>
      <c r="H10" s="42"/>
      <c r="I10" s="42"/>
      <c r="J10" s="40" t="s">
        <v>102</v>
      </c>
      <c r="K10" s="41" t="s">
        <v>29</v>
      </c>
      <c r="L10" s="43">
        <v>25310</v>
      </c>
      <c r="M10" s="44"/>
      <c r="N10" s="44"/>
      <c r="O10" s="44"/>
    </row>
    <row r="11" spans="1:15" ht="54" customHeight="1" x14ac:dyDescent="0.55000000000000004">
      <c r="A11" s="34">
        <v>7</v>
      </c>
      <c r="B11" s="35" t="s">
        <v>105</v>
      </c>
      <c r="C11" s="35" t="s">
        <v>106</v>
      </c>
      <c r="D11" s="36"/>
      <c r="E11" s="37"/>
      <c r="F11" s="37"/>
      <c r="G11" s="36" t="s">
        <v>92</v>
      </c>
      <c r="H11" s="37"/>
      <c r="I11" s="37"/>
      <c r="J11" s="40" t="s">
        <v>102</v>
      </c>
      <c r="K11" s="41" t="s">
        <v>29</v>
      </c>
      <c r="L11" s="43">
        <v>25315</v>
      </c>
      <c r="M11" s="39"/>
      <c r="N11" s="39"/>
      <c r="O11" s="39"/>
    </row>
    <row r="12" spans="1:15" ht="168" customHeight="1" x14ac:dyDescent="0.55000000000000004">
      <c r="A12" s="34">
        <v>8</v>
      </c>
      <c r="B12" s="35" t="s">
        <v>95</v>
      </c>
      <c r="C12" s="35" t="s">
        <v>96</v>
      </c>
      <c r="D12" s="36"/>
      <c r="E12" s="37"/>
      <c r="F12" s="37"/>
      <c r="G12" s="36" t="s">
        <v>92</v>
      </c>
      <c r="H12" s="37"/>
      <c r="I12" s="37"/>
      <c r="J12" s="34" t="s">
        <v>33</v>
      </c>
      <c r="K12" s="35" t="s">
        <v>35</v>
      </c>
      <c r="L12" s="43">
        <v>25303</v>
      </c>
      <c r="M12" s="39"/>
      <c r="N12" s="39"/>
      <c r="O12" s="39"/>
    </row>
    <row r="13" spans="1:15" ht="156" customHeight="1" x14ac:dyDescent="0.55000000000000004">
      <c r="A13" s="34">
        <v>9</v>
      </c>
      <c r="B13" s="35" t="s">
        <v>107</v>
      </c>
      <c r="C13" s="35" t="s">
        <v>108</v>
      </c>
      <c r="D13" s="37"/>
      <c r="E13" s="36"/>
      <c r="F13" s="37"/>
      <c r="G13" s="36" t="s">
        <v>92</v>
      </c>
      <c r="H13" s="37"/>
      <c r="I13" s="37"/>
      <c r="J13" s="34" t="s">
        <v>33</v>
      </c>
      <c r="K13" s="35" t="s">
        <v>35</v>
      </c>
      <c r="L13" s="46" t="s">
        <v>109</v>
      </c>
      <c r="M13" s="39"/>
      <c r="N13" s="39"/>
      <c r="O13" s="39"/>
    </row>
    <row r="14" spans="1:15" s="45" customFormat="1" ht="48" x14ac:dyDescent="0.55000000000000004">
      <c r="A14" s="40">
        <v>10</v>
      </c>
      <c r="B14" s="41" t="s">
        <v>97</v>
      </c>
      <c r="C14" s="41" t="s">
        <v>110</v>
      </c>
      <c r="D14" s="42"/>
      <c r="E14" s="42"/>
      <c r="F14" s="42"/>
      <c r="G14" s="36" t="s">
        <v>92</v>
      </c>
      <c r="H14" s="42"/>
      <c r="I14" s="42"/>
      <c r="J14" s="47" t="s">
        <v>111</v>
      </c>
      <c r="K14" s="41" t="s">
        <v>112</v>
      </c>
      <c r="L14" s="43">
        <v>25321</v>
      </c>
      <c r="M14" s="44"/>
      <c r="N14" s="44"/>
      <c r="O14" s="44"/>
    </row>
    <row r="15" spans="1:15" ht="144" x14ac:dyDescent="0.55000000000000004">
      <c r="A15" s="34">
        <v>11</v>
      </c>
      <c r="B15" s="35" t="s">
        <v>113</v>
      </c>
      <c r="C15" s="35" t="s">
        <v>114</v>
      </c>
      <c r="D15" s="36" t="s">
        <v>92</v>
      </c>
      <c r="E15" s="37"/>
      <c r="F15" s="37"/>
      <c r="G15" s="36"/>
      <c r="H15" s="37"/>
      <c r="I15" s="37"/>
      <c r="J15" s="47" t="s">
        <v>115</v>
      </c>
      <c r="K15" s="35" t="s">
        <v>116</v>
      </c>
      <c r="L15" s="38">
        <v>25317</v>
      </c>
      <c r="M15" s="34">
        <v>3</v>
      </c>
      <c r="N15" s="34">
        <v>50</v>
      </c>
      <c r="O15" s="39"/>
    </row>
    <row r="16" spans="1:15" x14ac:dyDescent="0.55000000000000004">
      <c r="B16" s="16"/>
      <c r="C16" s="49"/>
      <c r="D16" s="50"/>
      <c r="J16" s="48"/>
      <c r="K16" s="49"/>
      <c r="L16" s="51"/>
    </row>
    <row r="17" spans="2:14" x14ac:dyDescent="0.55000000000000004">
      <c r="B17" s="49"/>
      <c r="C17" s="48"/>
      <c r="G17" s="50"/>
      <c r="J17" s="48"/>
      <c r="K17" s="49"/>
      <c r="L17" s="51"/>
    </row>
    <row r="18" spans="2:14" x14ac:dyDescent="0.55000000000000004">
      <c r="B18" s="49"/>
      <c r="C18" s="49"/>
      <c r="G18" s="50"/>
      <c r="J18" s="48"/>
      <c r="K18" s="49"/>
      <c r="L18" s="51"/>
    </row>
    <row r="19" spans="2:14" ht="51.75" customHeight="1" x14ac:dyDescent="0.55000000000000004">
      <c r="B19" s="49"/>
      <c r="C19" s="49"/>
      <c r="G19" s="50"/>
      <c r="J19" s="48"/>
      <c r="K19" s="49"/>
      <c r="L19" s="51"/>
    </row>
    <row r="20" spans="2:14" x14ac:dyDescent="0.55000000000000004">
      <c r="B20" s="49"/>
      <c r="C20" s="48"/>
      <c r="D20" s="50"/>
      <c r="J20" s="48"/>
      <c r="K20" s="49"/>
      <c r="L20" s="51"/>
    </row>
    <row r="21" spans="2:14" x14ac:dyDescent="0.55000000000000004">
      <c r="B21" s="49"/>
      <c r="C21" s="48"/>
      <c r="G21" s="50"/>
      <c r="J21" s="48"/>
      <c r="K21" s="49"/>
      <c r="L21" s="51"/>
    </row>
    <row r="22" spans="2:14" x14ac:dyDescent="0.55000000000000004">
      <c r="B22" s="49"/>
      <c r="C22" s="48"/>
      <c r="G22" s="50"/>
      <c r="J22" s="48"/>
      <c r="K22" s="49"/>
      <c r="L22" s="51"/>
    </row>
    <row r="23" spans="2:14" x14ac:dyDescent="0.55000000000000004">
      <c r="B23" s="49"/>
      <c r="C23" s="49"/>
      <c r="D23" s="50"/>
      <c r="J23" s="48"/>
      <c r="K23" s="49"/>
      <c r="L23" s="51"/>
    </row>
    <row r="24" spans="2:14" x14ac:dyDescent="0.55000000000000004">
      <c r="B24" s="49"/>
      <c r="C24" s="49"/>
      <c r="G24" s="50"/>
      <c r="J24" s="48"/>
      <c r="K24" s="49"/>
      <c r="L24" s="51"/>
    </row>
    <row r="25" spans="2:14" ht="99" customHeight="1" x14ac:dyDescent="0.55000000000000004">
      <c r="B25" s="49"/>
      <c r="C25" s="49"/>
      <c r="F25" s="50"/>
      <c r="J25" s="48"/>
      <c r="K25" s="49"/>
      <c r="L25" s="51"/>
    </row>
    <row r="26" spans="2:14" ht="54" customHeight="1" x14ac:dyDescent="0.55000000000000004">
      <c r="B26" s="49"/>
      <c r="C26" s="49"/>
      <c r="F26" s="50"/>
      <c r="J26" s="48"/>
      <c r="K26" s="49"/>
      <c r="L26" s="51"/>
    </row>
    <row r="27" spans="2:14" x14ac:dyDescent="0.55000000000000004">
      <c r="B27" s="49"/>
      <c r="C27" s="48"/>
      <c r="G27" s="50"/>
      <c r="J27" s="48"/>
      <c r="K27" s="49"/>
      <c r="L27" s="48"/>
    </row>
    <row r="28" spans="2:14" x14ac:dyDescent="0.55000000000000004">
      <c r="B28" s="49"/>
      <c r="C28" s="48"/>
      <c r="G28" s="50"/>
      <c r="J28" s="48"/>
      <c r="K28" s="49"/>
      <c r="L28" s="48"/>
    </row>
    <row r="29" spans="2:14" x14ac:dyDescent="0.55000000000000004">
      <c r="B29" s="49"/>
      <c r="C29" s="49"/>
      <c r="G29" s="50"/>
      <c r="J29" s="48"/>
      <c r="K29" s="49"/>
      <c r="L29" s="49"/>
    </row>
    <row r="30" spans="2:14" x14ac:dyDescent="0.55000000000000004">
      <c r="B30" s="49"/>
      <c r="C30" s="49"/>
      <c r="G30" s="50"/>
      <c r="J30" s="48"/>
      <c r="K30" s="49"/>
      <c r="L30" s="51"/>
    </row>
    <row r="31" spans="2:14" x14ac:dyDescent="0.55000000000000004">
      <c r="B31" s="49"/>
      <c r="C31" s="48"/>
      <c r="D31" s="50"/>
      <c r="J31" s="49"/>
      <c r="K31" s="49"/>
      <c r="L31" s="51"/>
      <c r="N31" s="48"/>
    </row>
    <row r="32" spans="2:14" ht="147" customHeight="1" x14ac:dyDescent="0.55000000000000004">
      <c r="B32" s="49"/>
      <c r="C32" s="49"/>
      <c r="I32" s="50"/>
      <c r="J32" s="49"/>
      <c r="K32" s="49"/>
      <c r="L32" s="51"/>
      <c r="N32" s="48"/>
    </row>
    <row r="33" spans="2:14" x14ac:dyDescent="0.55000000000000004">
      <c r="B33" s="49"/>
      <c r="C33" s="49"/>
      <c r="D33" s="50"/>
      <c r="J33" s="48"/>
      <c r="K33" s="49"/>
      <c r="L33" s="51"/>
      <c r="N33" s="48"/>
    </row>
    <row r="34" spans="2:14" x14ac:dyDescent="0.55000000000000004">
      <c r="B34" s="49"/>
      <c r="C34" s="49"/>
      <c r="D34" s="50"/>
      <c r="J34" s="49"/>
      <c r="K34" s="49"/>
      <c r="L34" s="51"/>
      <c r="N34" s="48"/>
    </row>
    <row r="35" spans="2:14" x14ac:dyDescent="0.55000000000000004">
      <c r="B35" s="49"/>
      <c r="C35" s="48"/>
      <c r="I35" s="50"/>
      <c r="J35" s="49"/>
      <c r="K35" s="49"/>
      <c r="L35" s="51"/>
      <c r="N35" s="48"/>
    </row>
    <row r="36" spans="2:14" x14ac:dyDescent="0.55000000000000004">
      <c r="B36" s="49"/>
      <c r="C36" s="48"/>
      <c r="I36" s="50"/>
      <c r="J36" s="49"/>
      <c r="K36" s="49"/>
      <c r="L36" s="51"/>
      <c r="N36" s="48"/>
    </row>
  </sheetData>
  <mergeCells count="12">
    <mergeCell ref="N3:N4"/>
    <mergeCell ref="O3:O4"/>
    <mergeCell ref="A1:O1"/>
    <mergeCell ref="A2:O2"/>
    <mergeCell ref="A3:A4"/>
    <mergeCell ref="B3:B4"/>
    <mergeCell ref="C3:C4"/>
    <mergeCell ref="D3:I3"/>
    <mergeCell ref="J3:J4"/>
    <mergeCell ref="K3:K4"/>
    <mergeCell ref="L3:L4"/>
    <mergeCell ref="M3:M4"/>
  </mergeCells>
  <conditionalFormatting sqref="A1:O2">
    <cfRule type="colorScale" priority="1">
      <colorScale>
        <cfvo type="min"/>
        <cfvo type="percentile" val="50"/>
        <cfvo type="max"/>
        <color rgb="FF5A8AC6"/>
        <color rgb="FFFCFCFF"/>
        <color rgb="FFF8696B"/>
      </colorScale>
    </cfRule>
  </conditionalFormatting>
  <pageMargins left="0.19685039370078741" right="0" top="0.15748031496062992" bottom="0.35433070866141736" header="0.31496062992125984" footer="0.31496062992125984"/>
  <pageSetup scale="95"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D17D-1830-44A1-A1F7-0500F0823512}">
  <dimension ref="A1:P18"/>
  <sheetViews>
    <sheetView tabSelected="1" zoomScale="110" zoomScaleNormal="110" workbookViewId="0">
      <selection activeCell="F5" sqref="F5"/>
    </sheetView>
  </sheetViews>
  <sheetFormatPr defaultColWidth="9" defaultRowHeight="21.75" x14ac:dyDescent="0.5"/>
  <cols>
    <col min="1" max="1" width="4.875" style="65" customWidth="1"/>
    <col min="2" max="2" width="23.125" style="69" customWidth="1"/>
    <col min="3" max="3" width="10.125" style="66" customWidth="1"/>
    <col min="4" max="4" width="8" style="65" customWidth="1"/>
    <col min="5" max="5" width="10" style="70" bestFit="1" customWidth="1"/>
    <col min="6" max="6" width="19.625" style="66" customWidth="1"/>
    <col min="7" max="7" width="17.625" style="66" customWidth="1"/>
    <col min="8" max="8" width="18.625" style="66" customWidth="1"/>
    <col min="9" max="9" width="14.625" style="66" customWidth="1"/>
    <col min="10" max="10" width="14.625" style="67" customWidth="1"/>
    <col min="11" max="11" width="7" style="67" customWidth="1"/>
    <col min="12" max="12" width="8.75" style="67" customWidth="1"/>
    <col min="13" max="13" width="8.25" style="67" customWidth="1"/>
    <col min="14" max="14" width="7" style="67" customWidth="1"/>
    <col min="15" max="15" width="10.125" style="68" customWidth="1"/>
    <col min="16" max="16384" width="9" style="65"/>
  </cols>
  <sheetData>
    <row r="1" spans="1:16" s="1" customFormat="1" ht="24" x14ac:dyDescent="0.5">
      <c r="A1" s="115" t="s">
        <v>117</v>
      </c>
      <c r="B1" s="115"/>
      <c r="C1" s="115"/>
      <c r="D1" s="115"/>
      <c r="E1" s="115"/>
      <c r="F1" s="115"/>
      <c r="G1" s="115"/>
      <c r="H1" s="115"/>
      <c r="I1" s="115"/>
      <c r="J1" s="115"/>
      <c r="K1" s="115"/>
      <c r="L1" s="115"/>
      <c r="M1" s="115"/>
      <c r="N1" s="115"/>
      <c r="O1" s="115"/>
    </row>
    <row r="2" spans="1:16" s="1" customFormat="1" ht="24" x14ac:dyDescent="0.5">
      <c r="A2" s="115" t="s">
        <v>1</v>
      </c>
      <c r="B2" s="115"/>
      <c r="C2" s="115"/>
      <c r="D2" s="115"/>
      <c r="E2" s="115"/>
      <c r="F2" s="115"/>
      <c r="G2" s="115"/>
      <c r="H2" s="115"/>
      <c r="I2" s="115"/>
      <c r="J2" s="115"/>
      <c r="K2" s="115"/>
      <c r="L2" s="115"/>
      <c r="M2" s="115"/>
      <c r="N2" s="115"/>
      <c r="O2" s="115"/>
    </row>
    <row r="3" spans="1:16" s="53" customFormat="1" ht="25.5" customHeight="1" x14ac:dyDescent="0.2">
      <c r="A3" s="84" t="s">
        <v>2</v>
      </c>
      <c r="B3" s="114" t="s">
        <v>118</v>
      </c>
      <c r="C3" s="114" t="s">
        <v>119</v>
      </c>
      <c r="D3" s="116" t="s">
        <v>120</v>
      </c>
      <c r="E3" s="117" t="s">
        <v>121</v>
      </c>
      <c r="F3" s="114" t="s">
        <v>122</v>
      </c>
      <c r="G3" s="114" t="s">
        <v>123</v>
      </c>
      <c r="H3" s="114"/>
      <c r="I3" s="114" t="s">
        <v>124</v>
      </c>
      <c r="J3" s="114" t="s">
        <v>125</v>
      </c>
      <c r="K3" s="84" t="s">
        <v>126</v>
      </c>
      <c r="L3" s="84" t="s">
        <v>127</v>
      </c>
      <c r="M3" s="84" t="s">
        <v>128</v>
      </c>
      <c r="N3" s="84" t="s">
        <v>129</v>
      </c>
      <c r="O3" s="85" t="s">
        <v>16</v>
      </c>
    </row>
    <row r="4" spans="1:16" s="3" customFormat="1" ht="21" customHeight="1" x14ac:dyDescent="0.2">
      <c r="A4" s="84"/>
      <c r="B4" s="114"/>
      <c r="C4" s="114"/>
      <c r="D4" s="116"/>
      <c r="E4" s="117"/>
      <c r="F4" s="114"/>
      <c r="G4" s="18" t="s">
        <v>130</v>
      </c>
      <c r="H4" s="18" t="s">
        <v>131</v>
      </c>
      <c r="I4" s="114"/>
      <c r="J4" s="114"/>
      <c r="K4" s="84"/>
      <c r="L4" s="84"/>
      <c r="M4" s="84"/>
      <c r="N4" s="84"/>
      <c r="O4" s="85"/>
    </row>
    <row r="5" spans="1:16" s="1" customFormat="1" ht="174" x14ac:dyDescent="0.5">
      <c r="A5" s="20">
        <v>1</v>
      </c>
      <c r="B5" s="14" t="s">
        <v>132</v>
      </c>
      <c r="C5" s="14" t="s">
        <v>133</v>
      </c>
      <c r="D5" s="20" t="s">
        <v>134</v>
      </c>
      <c r="E5" s="54">
        <v>20000</v>
      </c>
      <c r="F5" s="14" t="s">
        <v>135</v>
      </c>
      <c r="G5" s="14" t="s">
        <v>30</v>
      </c>
      <c r="H5" s="14" t="s">
        <v>136</v>
      </c>
      <c r="I5" s="14" t="s">
        <v>35</v>
      </c>
      <c r="J5" s="14" t="s">
        <v>137</v>
      </c>
      <c r="K5" s="14" t="s">
        <v>30</v>
      </c>
      <c r="L5" s="14">
        <v>16</v>
      </c>
      <c r="M5" s="14" t="s">
        <v>138</v>
      </c>
      <c r="N5" s="14" t="s">
        <v>30</v>
      </c>
      <c r="O5" s="14" t="s">
        <v>139</v>
      </c>
    </row>
    <row r="6" spans="1:16" s="59" customFormat="1" ht="117" customHeight="1" x14ac:dyDescent="0.2">
      <c r="A6" s="55">
        <v>2</v>
      </c>
      <c r="B6" s="56" t="s">
        <v>140</v>
      </c>
      <c r="C6" s="14" t="s">
        <v>133</v>
      </c>
      <c r="D6" s="20" t="s">
        <v>134</v>
      </c>
      <c r="E6" s="57">
        <v>20000</v>
      </c>
      <c r="F6" s="56" t="s">
        <v>141</v>
      </c>
      <c r="G6" s="56" t="s">
        <v>30</v>
      </c>
      <c r="H6" s="56" t="s">
        <v>142</v>
      </c>
      <c r="I6" s="14" t="s">
        <v>29</v>
      </c>
      <c r="J6" s="58" t="s">
        <v>143</v>
      </c>
      <c r="K6" s="56">
        <v>28</v>
      </c>
      <c r="L6" s="56">
        <v>1</v>
      </c>
      <c r="M6" s="56">
        <v>80</v>
      </c>
      <c r="N6" s="56">
        <v>87</v>
      </c>
      <c r="O6" s="56" t="s">
        <v>139</v>
      </c>
    </row>
    <row r="7" spans="1:16" s="59" customFormat="1" ht="152.25" x14ac:dyDescent="0.2">
      <c r="A7" s="55">
        <v>3</v>
      </c>
      <c r="B7" s="56" t="s">
        <v>144</v>
      </c>
      <c r="C7" s="14" t="s">
        <v>133</v>
      </c>
      <c r="D7" s="20" t="s">
        <v>134</v>
      </c>
      <c r="E7" s="57">
        <v>2857</v>
      </c>
      <c r="F7" s="56" t="s">
        <v>141</v>
      </c>
      <c r="G7" s="56" t="s">
        <v>145</v>
      </c>
      <c r="H7" s="56" t="s">
        <v>30</v>
      </c>
      <c r="I7" s="14" t="s">
        <v>29</v>
      </c>
      <c r="J7" s="58" t="s">
        <v>146</v>
      </c>
      <c r="K7" s="56">
        <v>84</v>
      </c>
      <c r="L7" s="56" t="s">
        <v>30</v>
      </c>
      <c r="M7" s="56">
        <v>677</v>
      </c>
      <c r="N7" s="56" t="s">
        <v>30</v>
      </c>
      <c r="O7" s="56" t="s">
        <v>147</v>
      </c>
    </row>
    <row r="8" spans="1:16" s="59" customFormat="1" ht="198" customHeight="1" x14ac:dyDescent="0.2">
      <c r="A8" s="55">
        <v>4</v>
      </c>
      <c r="B8" s="56" t="s">
        <v>148</v>
      </c>
      <c r="C8" s="14" t="s">
        <v>133</v>
      </c>
      <c r="D8" s="20" t="s">
        <v>134</v>
      </c>
      <c r="E8" s="57">
        <v>20000</v>
      </c>
      <c r="F8" s="56" t="s">
        <v>149</v>
      </c>
      <c r="G8" s="56" t="s">
        <v>30</v>
      </c>
      <c r="H8" s="56" t="s">
        <v>150</v>
      </c>
      <c r="I8" s="56" t="s">
        <v>112</v>
      </c>
      <c r="J8" s="58" t="s">
        <v>151</v>
      </c>
      <c r="K8" s="56">
        <v>28</v>
      </c>
      <c r="L8" s="60" t="s">
        <v>152</v>
      </c>
      <c r="M8" s="56">
        <v>1</v>
      </c>
      <c r="N8" s="56">
        <v>28</v>
      </c>
      <c r="O8" s="14" t="s">
        <v>139</v>
      </c>
      <c r="P8" s="61"/>
    </row>
    <row r="9" spans="1:16" s="59" customFormat="1" ht="195.75" x14ac:dyDescent="0.2">
      <c r="A9" s="55">
        <v>5</v>
      </c>
      <c r="B9" s="56" t="s">
        <v>153</v>
      </c>
      <c r="C9" s="14" t="s">
        <v>133</v>
      </c>
      <c r="D9" s="20" t="s">
        <v>134</v>
      </c>
      <c r="E9" s="57">
        <v>20000</v>
      </c>
      <c r="F9" s="56" t="s">
        <v>149</v>
      </c>
      <c r="G9" s="56" t="s">
        <v>30</v>
      </c>
      <c r="H9" s="56" t="s">
        <v>150</v>
      </c>
      <c r="I9" s="56" t="s">
        <v>112</v>
      </c>
      <c r="J9" s="58" t="s">
        <v>154</v>
      </c>
      <c r="K9" s="56" t="s">
        <v>155</v>
      </c>
      <c r="L9" s="56" t="s">
        <v>156</v>
      </c>
      <c r="M9" s="56">
        <v>1</v>
      </c>
      <c r="N9" s="56">
        <v>26</v>
      </c>
      <c r="O9" s="56" t="s">
        <v>147</v>
      </c>
    </row>
    <row r="10" spans="1:16" s="59" customFormat="1" ht="95.25" customHeight="1" x14ac:dyDescent="0.2">
      <c r="A10" s="55">
        <v>6</v>
      </c>
      <c r="B10" s="56" t="s">
        <v>157</v>
      </c>
      <c r="C10" s="14" t="s">
        <v>133</v>
      </c>
      <c r="D10" s="62" t="s">
        <v>158</v>
      </c>
      <c r="E10" s="57">
        <v>5000</v>
      </c>
      <c r="F10" s="56" t="s">
        <v>159</v>
      </c>
      <c r="G10" s="56" t="s">
        <v>30</v>
      </c>
      <c r="H10" s="56" t="s">
        <v>160</v>
      </c>
      <c r="I10" s="56" t="s">
        <v>116</v>
      </c>
      <c r="J10" s="58" t="s">
        <v>161</v>
      </c>
      <c r="K10" s="56">
        <v>43</v>
      </c>
      <c r="L10" s="56">
        <v>3</v>
      </c>
      <c r="M10" s="56">
        <v>230</v>
      </c>
      <c r="N10" s="56">
        <v>240</v>
      </c>
      <c r="O10" s="56" t="s">
        <v>162</v>
      </c>
    </row>
    <row r="11" spans="1:16" s="59" customFormat="1" ht="108.75" x14ac:dyDescent="0.2">
      <c r="A11" s="55">
        <v>7</v>
      </c>
      <c r="B11" s="56" t="s">
        <v>163</v>
      </c>
      <c r="C11" s="56" t="s">
        <v>164</v>
      </c>
      <c r="D11" s="62" t="s">
        <v>134</v>
      </c>
      <c r="E11" s="57">
        <v>20000</v>
      </c>
      <c r="F11" s="56" t="s">
        <v>165</v>
      </c>
      <c r="G11" s="56" t="s">
        <v>30</v>
      </c>
      <c r="H11" s="56" t="s">
        <v>166</v>
      </c>
      <c r="I11" s="56" t="s">
        <v>167</v>
      </c>
      <c r="J11" s="58" t="s">
        <v>30</v>
      </c>
      <c r="K11" s="56" t="s">
        <v>30</v>
      </c>
      <c r="L11" s="56" t="s">
        <v>30</v>
      </c>
      <c r="M11" s="56" t="s">
        <v>30</v>
      </c>
      <c r="N11" s="56" t="s">
        <v>30</v>
      </c>
      <c r="O11" s="56" t="s">
        <v>168</v>
      </c>
    </row>
    <row r="12" spans="1:16" s="59" customFormat="1" ht="69" customHeight="1" x14ac:dyDescent="0.2">
      <c r="A12" s="55">
        <v>8</v>
      </c>
      <c r="B12" s="56" t="s">
        <v>169</v>
      </c>
      <c r="C12" s="56" t="s">
        <v>170</v>
      </c>
      <c r="D12" s="62" t="s">
        <v>158</v>
      </c>
      <c r="E12" s="63">
        <v>20000</v>
      </c>
      <c r="F12" s="64" t="s">
        <v>171</v>
      </c>
      <c r="G12" s="56" t="s">
        <v>30</v>
      </c>
      <c r="H12" s="56" t="s">
        <v>30</v>
      </c>
      <c r="I12" s="56" t="s">
        <v>172</v>
      </c>
      <c r="J12" s="58" t="s">
        <v>173</v>
      </c>
      <c r="K12" s="56" t="s">
        <v>30</v>
      </c>
      <c r="L12" s="56" t="s">
        <v>30</v>
      </c>
      <c r="M12" s="56" t="s">
        <v>30</v>
      </c>
      <c r="N12" s="56" t="s">
        <v>30</v>
      </c>
      <c r="O12" s="14" t="s">
        <v>174</v>
      </c>
    </row>
    <row r="13" spans="1:16" s="59" customFormat="1" ht="87" x14ac:dyDescent="0.2">
      <c r="A13" s="55">
        <v>9</v>
      </c>
      <c r="B13" s="56" t="s">
        <v>175</v>
      </c>
      <c r="C13" s="56" t="s">
        <v>176</v>
      </c>
      <c r="D13" s="62" t="s">
        <v>134</v>
      </c>
      <c r="E13" s="57">
        <v>20000</v>
      </c>
      <c r="F13" s="56" t="s">
        <v>177</v>
      </c>
      <c r="G13" s="56" t="s">
        <v>30</v>
      </c>
      <c r="H13" s="56" t="s">
        <v>178</v>
      </c>
      <c r="I13" s="56" t="s">
        <v>116</v>
      </c>
      <c r="J13" s="58" t="s">
        <v>30</v>
      </c>
      <c r="K13" s="56" t="s">
        <v>30</v>
      </c>
      <c r="L13" s="56" t="s">
        <v>30</v>
      </c>
      <c r="M13" s="56" t="s">
        <v>30</v>
      </c>
      <c r="N13" s="55" t="s">
        <v>30</v>
      </c>
      <c r="O13" s="56" t="s">
        <v>168</v>
      </c>
    </row>
    <row r="14" spans="1:16" s="59" customFormat="1" ht="130.5" x14ac:dyDescent="0.2">
      <c r="A14" s="55">
        <v>10</v>
      </c>
      <c r="B14" s="56" t="s">
        <v>179</v>
      </c>
      <c r="C14" s="56" t="s">
        <v>133</v>
      </c>
      <c r="D14" s="62" t="s">
        <v>134</v>
      </c>
      <c r="E14" s="57">
        <v>20000</v>
      </c>
      <c r="F14" s="56" t="s">
        <v>135</v>
      </c>
      <c r="G14" s="56" t="s">
        <v>180</v>
      </c>
      <c r="H14" s="56" t="s">
        <v>30</v>
      </c>
      <c r="I14" s="56" t="s">
        <v>172</v>
      </c>
      <c r="J14" s="58" t="s">
        <v>181</v>
      </c>
      <c r="K14" s="56" t="s">
        <v>30</v>
      </c>
      <c r="L14" s="56">
        <v>357</v>
      </c>
      <c r="M14" s="56">
        <v>151575</v>
      </c>
      <c r="N14" s="55" t="s">
        <v>30</v>
      </c>
      <c r="O14" s="56" t="s">
        <v>147</v>
      </c>
    </row>
    <row r="15" spans="1:16" s="59" customFormat="1" ht="87" x14ac:dyDescent="0.2">
      <c r="A15" s="55">
        <v>11</v>
      </c>
      <c r="B15" s="56" t="s">
        <v>175</v>
      </c>
      <c r="C15" s="56" t="s">
        <v>133</v>
      </c>
      <c r="D15" s="62" t="s">
        <v>134</v>
      </c>
      <c r="E15" s="57">
        <v>20000</v>
      </c>
      <c r="F15" s="56" t="s">
        <v>177</v>
      </c>
      <c r="G15" s="56" t="s">
        <v>30</v>
      </c>
      <c r="H15" s="56" t="s">
        <v>178</v>
      </c>
      <c r="I15" s="56" t="s">
        <v>182</v>
      </c>
      <c r="J15" s="58" t="s">
        <v>183</v>
      </c>
      <c r="K15" s="56">
        <v>8</v>
      </c>
      <c r="L15" s="56" t="s">
        <v>30</v>
      </c>
      <c r="M15" s="56">
        <v>100196</v>
      </c>
      <c r="N15" s="55" t="s">
        <v>30</v>
      </c>
      <c r="O15" s="56" t="s">
        <v>147</v>
      </c>
    </row>
    <row r="16" spans="1:16" s="59" customFormat="1" ht="168" customHeight="1" x14ac:dyDescent="0.2">
      <c r="A16" s="55">
        <v>12</v>
      </c>
      <c r="B16" s="56" t="s">
        <v>184</v>
      </c>
      <c r="C16" s="56" t="s">
        <v>176</v>
      </c>
      <c r="D16" s="62" t="s">
        <v>134</v>
      </c>
      <c r="E16" s="57">
        <v>20000</v>
      </c>
      <c r="F16" s="56" t="s">
        <v>166</v>
      </c>
      <c r="G16" s="56" t="s">
        <v>30</v>
      </c>
      <c r="H16" s="56" t="s">
        <v>185</v>
      </c>
      <c r="I16" s="56" t="s">
        <v>167</v>
      </c>
      <c r="J16" s="58" t="s">
        <v>30</v>
      </c>
      <c r="K16" s="56" t="s">
        <v>30</v>
      </c>
      <c r="L16" s="56" t="s">
        <v>30</v>
      </c>
      <c r="M16" s="56" t="s">
        <v>30</v>
      </c>
      <c r="N16" s="55" t="s">
        <v>30</v>
      </c>
      <c r="O16" s="56" t="s">
        <v>186</v>
      </c>
    </row>
    <row r="17" spans="1:15" ht="199.5" customHeight="1" x14ac:dyDescent="0.5">
      <c r="A17" s="55">
        <v>13</v>
      </c>
      <c r="B17" s="56" t="s">
        <v>187</v>
      </c>
      <c r="C17" s="56" t="s">
        <v>176</v>
      </c>
      <c r="D17" s="62" t="s">
        <v>134</v>
      </c>
      <c r="E17" s="57">
        <v>20000</v>
      </c>
      <c r="F17" s="56" t="s">
        <v>65</v>
      </c>
      <c r="G17" s="56" t="s">
        <v>30</v>
      </c>
      <c r="H17" s="56" t="s">
        <v>188</v>
      </c>
      <c r="I17" s="56" t="s">
        <v>167</v>
      </c>
      <c r="J17" s="56" t="s">
        <v>30</v>
      </c>
      <c r="K17" s="56" t="s">
        <v>30</v>
      </c>
      <c r="L17" s="56" t="s">
        <v>30</v>
      </c>
      <c r="M17" s="56" t="s">
        <v>30</v>
      </c>
      <c r="N17" s="56" t="s">
        <v>30</v>
      </c>
      <c r="O17" s="56" t="s">
        <v>189</v>
      </c>
    </row>
    <row r="18" spans="1:15" s="66" customFormat="1" ht="27.95" customHeight="1" x14ac:dyDescent="0.7">
      <c r="A18" s="112" t="s">
        <v>190</v>
      </c>
      <c r="B18" s="113"/>
      <c r="C18" s="113"/>
      <c r="D18" s="113"/>
      <c r="E18" s="113"/>
      <c r="F18" s="113"/>
      <c r="J18" s="67"/>
      <c r="K18" s="67"/>
      <c r="L18" s="67"/>
      <c r="M18" s="67"/>
      <c r="N18" s="67"/>
      <c r="O18" s="68"/>
    </row>
  </sheetData>
  <mergeCells count="17">
    <mergeCell ref="N3:N4"/>
    <mergeCell ref="O3:O4"/>
    <mergeCell ref="A1:O1"/>
    <mergeCell ref="A2:O2"/>
    <mergeCell ref="A3:A4"/>
    <mergeCell ref="B3:B4"/>
    <mergeCell ref="C3:C4"/>
    <mergeCell ref="D3:D4"/>
    <mergeCell ref="E3:E4"/>
    <mergeCell ref="F3:F4"/>
    <mergeCell ref="G3:H3"/>
    <mergeCell ref="I3:I4"/>
    <mergeCell ref="A18:F18"/>
    <mergeCell ref="J3:J4"/>
    <mergeCell ref="K3:K4"/>
    <mergeCell ref="L3:L4"/>
    <mergeCell ref="M3:M4"/>
  </mergeCells>
  <pageMargins left="3.937007874015748E-2" right="0" top="3.937007874015748E-2" bottom="0.15748031496062992" header="3.937007874015748E-2" footer="0.11811023622047245"/>
  <pageSetup paperSize="9" scale="74"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เวิร์กชีต</vt:lpstr>
      </vt:variant>
      <vt:variant>
        <vt:i4>4</vt:i4>
      </vt:variant>
      <vt:variant>
        <vt:lpstr>ช่วงที่มีชื่อ</vt:lpstr>
      </vt:variant>
      <vt:variant>
        <vt:i4>3</vt:i4>
      </vt:variant>
    </vt:vector>
  </HeadingPairs>
  <TitlesOfParts>
    <vt:vector size="7" baseType="lpstr">
      <vt:lpstr>1-โครงการวิจัย</vt:lpstr>
      <vt:lpstr>2-โครงการพัฒนาวิชาการ</vt:lpstr>
      <vt:lpstr>3-งานบริการวิชาการ</vt:lpstr>
      <vt:lpstr>4-ผลงานทางวิชาการ</vt:lpstr>
      <vt:lpstr>'2-โครงการพัฒนาวิชาการ'!Print_Titles</vt:lpstr>
      <vt:lpstr>'3-งานบริการวิชาการ'!Print_Titles</vt:lpstr>
      <vt:lpstr>'4-ผลงานทางวิชาการ'!Print_Titles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ทศพร เอี่ยมสะอาด</dc:creator>
  <cp:lastModifiedBy>ทศพร เอี่ยมสะอาด</cp:lastModifiedBy>
  <dcterms:created xsi:type="dcterms:W3CDTF">2026-06-12T01:50:21Z</dcterms:created>
  <dcterms:modified xsi:type="dcterms:W3CDTF">2026-06-12T03:22:03Z</dcterms:modified>
</cp:coreProperties>
</file>